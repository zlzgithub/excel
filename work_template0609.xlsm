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Excel\"/>
    </mc:Choice>
  </mc:AlternateContent>
  <bookViews>
    <workbookView xWindow="0" yWindow="0" windowWidth="20490" windowHeight="8760"/>
  </bookViews>
  <sheets>
    <sheet name="statistic" sheetId="1" r:id="rId1"/>
    <sheet name="report" sheetId="2" r:id="rId2"/>
    <sheet name="his-data" sheetId="3" r:id="rId3"/>
    <sheet name="p-s-index" sheetId="5" r:id="rId4"/>
    <sheet name="s-r-index" sheetId="9" r:id="rId5"/>
    <sheet name="data-new" sheetId="6" r:id="rId6"/>
    <sheet name="data-src" sheetId="7" r:id="rId7"/>
  </sheets>
  <definedNames>
    <definedName name="_xlnm._FilterDatabase" localSheetId="2" hidden="1">'his-data'!$A$1:$F$31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3" i="7"/>
</calcChain>
</file>

<file path=xl/sharedStrings.xml><?xml version="1.0" encoding="utf-8"?>
<sst xmlns="http://schemas.openxmlformats.org/spreadsheetml/2006/main" count="254" uniqueCount="71">
  <si>
    <t>project</t>
  </si>
  <si>
    <t>project</t>
    <phoneticPr fontId="1" type="noConversion"/>
  </si>
  <si>
    <t>critical</t>
  </si>
  <si>
    <t>critical</t>
    <phoneticPr fontId="1" type="noConversion"/>
  </si>
  <si>
    <t>high</t>
  </si>
  <si>
    <t>high</t>
    <phoneticPr fontId="1" type="noConversion"/>
  </si>
  <si>
    <t>proj_01</t>
  </si>
  <si>
    <t>proj_01</t>
    <phoneticPr fontId="1" type="noConversion"/>
  </si>
  <si>
    <t>proj_02</t>
  </si>
  <si>
    <t>proj_02</t>
    <phoneticPr fontId="1" type="noConversion"/>
  </si>
  <si>
    <t>proj_03</t>
  </si>
  <si>
    <t>proj_04</t>
  </si>
  <si>
    <t>proj_05</t>
  </si>
  <si>
    <t>proj_06</t>
  </si>
  <si>
    <t>proj_07</t>
  </si>
  <si>
    <t>proj_08</t>
  </si>
  <si>
    <t>proj_09</t>
  </si>
  <si>
    <t>proj_10</t>
  </si>
  <si>
    <t>proj_11</t>
  </si>
  <si>
    <t>proj_12</t>
  </si>
  <si>
    <t>proj_13</t>
  </si>
  <si>
    <t>proj_14</t>
  </si>
  <si>
    <t>service_01</t>
  </si>
  <si>
    <t>service_01</t>
    <phoneticPr fontId="1" type="noConversion"/>
  </si>
  <si>
    <t>service_02</t>
  </si>
  <si>
    <t>service_03</t>
  </si>
  <si>
    <t>service_04</t>
  </si>
  <si>
    <t>service_05</t>
  </si>
  <si>
    <t>service_06</t>
  </si>
  <si>
    <t>service_07</t>
  </si>
  <si>
    <t>service</t>
  </si>
  <si>
    <t>service</t>
    <phoneticPr fontId="1" type="noConversion"/>
  </si>
  <si>
    <t>responsible person</t>
  </si>
  <si>
    <t>responsible person</t>
    <phoneticPr fontId="1" type="noConversion"/>
  </si>
  <si>
    <t>person_01</t>
  </si>
  <si>
    <t>person_02</t>
  </si>
  <si>
    <t>person_03</t>
  </si>
  <si>
    <t>changed</t>
    <phoneticPr fontId="1" type="noConversion"/>
  </si>
  <si>
    <t>data</t>
  </si>
  <si>
    <t>data</t>
    <phoneticPr fontId="1" type="noConversion"/>
  </si>
  <si>
    <t>proj_new</t>
  </si>
  <si>
    <t>proj_new</t>
    <phoneticPr fontId="1" type="noConversion"/>
  </si>
  <si>
    <t>critical</t>
    <phoneticPr fontId="1" type="noConversion"/>
  </si>
  <si>
    <t>date-time</t>
    <phoneticPr fontId="1" type="noConversion"/>
  </si>
  <si>
    <t>Report</t>
    <phoneticPr fontId="1" type="noConversion"/>
  </si>
  <si>
    <t>service_06/service_01</t>
  </si>
  <si>
    <t>service_06/service_01</t>
    <phoneticPr fontId="1" type="noConversion"/>
  </si>
  <si>
    <t>service_05/service_08</t>
  </si>
  <si>
    <t>person_03/person_01</t>
  </si>
  <si>
    <t>service_07</t>
    <phoneticPr fontId="1" type="noConversion"/>
  </si>
  <si>
    <t>service_04</t>
    <phoneticPr fontId="1" type="noConversion"/>
  </si>
  <si>
    <t>service_05/service_08</t>
    <phoneticPr fontId="1" type="noConversion"/>
  </si>
  <si>
    <t>service_08/service_07</t>
  </si>
  <si>
    <t>service_08/service_07</t>
    <phoneticPr fontId="1" type="noConversion"/>
  </si>
  <si>
    <t>?</t>
  </si>
  <si>
    <t>?/person_01</t>
  </si>
  <si>
    <t>person_03/?</t>
  </si>
  <si>
    <t>high</t>
    <phoneticPr fontId="1" type="noConversion"/>
  </si>
  <si>
    <t>service</t>
    <phoneticPr fontId="1" type="noConversion"/>
  </si>
  <si>
    <t>critical</t>
    <phoneticPr fontId="1" type="noConversion"/>
  </si>
  <si>
    <t>previous statistic</t>
    <phoneticPr fontId="1" type="noConversion"/>
  </si>
  <si>
    <t>statistic</t>
    <phoneticPr fontId="1" type="noConversion"/>
  </si>
  <si>
    <t>previous critical</t>
    <phoneticPr fontId="1" type="noConversion"/>
  </si>
  <si>
    <t>previous high</t>
    <phoneticPr fontId="1" type="noConversion"/>
  </si>
  <si>
    <t>previous critical</t>
    <phoneticPr fontId="1" type="noConversion"/>
  </si>
  <si>
    <t>previous high</t>
    <phoneticPr fontId="1" type="noConversion"/>
  </si>
  <si>
    <t>change</t>
    <phoneticPr fontId="1" type="noConversion"/>
  </si>
  <si>
    <t>previous report</t>
    <phoneticPr fontId="1" type="noConversion"/>
  </si>
  <si>
    <t>Critical: -261</t>
  </si>
  <si>
    <t>Critical: -1  High: -3</t>
  </si>
  <si>
    <t>service_066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</si>
</sst>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/m/d\ h:m:s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7326</xdr:colOff>
      <xdr:row>0</xdr:row>
      <xdr:rowOff>0</xdr:rowOff>
    </xdr:from>
    <xdr:to>
      <xdr:col>7</xdr:col>
      <xdr:colOff>190499</xdr:colOff>
      <xdr:row>3</xdr:row>
      <xdr:rowOff>7327</xdr:rowOff>
    </xdr:to>
    <xdr:sp macro="[0]!genReport" textlink="">
      <xdr:nvSpPr>
        <xdr:cNvPr id="2" name="矩形: 圆角 1">
          <a:extLst>
            <a:ext uri="{FF2B5EF4-FFF2-40B4-BE49-F238E27FC236}">
              <a16:creationId xmlns:a16="http://schemas.microsoft.com/office/drawing/2014/main" id="{DA311B04-EC8B-41DD-ABE0-F02F9D345B7C}"/>
            </a:ext>
          </a:extLst>
        </xdr:cNvPr>
        <xdr:cNvSpPr/>
      </xdr:nvSpPr>
      <xdr:spPr>
        <a:xfrm>
          <a:off x="5927480" y="0"/>
          <a:ext cx="871904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628650</xdr:colOff>
      <xdr:row>2</xdr:row>
      <xdr:rowOff>171450</xdr:rowOff>
    </xdr:from>
    <xdr:to>
      <xdr:col>8</xdr:col>
      <xdr:colOff>647700</xdr:colOff>
      <xdr:row>8</xdr:row>
      <xdr:rowOff>57150</xdr:rowOff>
    </xdr:to>
    <xdr:sp macro="[0]!getData" textlink="">
      <xdr:nvSpPr>
        <xdr:cNvPr id="2" name="矩形: 圆角 1">
          <a:extLst>
            <a:ext uri="{FF2B5EF4-FFF2-40B4-BE49-F238E27FC236}">
              <a16:creationId xmlns:a16="http://schemas.microsoft.com/office/drawing/2014/main" id="{728237FB-36EE-42F3-9503-F6BDF36A9BBA}"/>
            </a:ext>
          </a:extLst>
        </xdr:cNvPr>
        <xdr:cNvSpPr/>
      </xdr:nvSpPr>
      <xdr:spPr>
        <a:xfrm>
          <a:off x="4743450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Get Data</a:t>
          </a:r>
          <a:endParaRPr lang="zh-CN" altLang="en-US" sz="1100"/>
        </a:p>
      </xdr:txBody>
    </xdr:sp>
    <xdr:clientData/>
  </xdr:twoCellAnchor>
  <xdr:twoCellAnchor>
    <xdr:from>
      <xdr:col>6</xdr:col>
      <xdr:colOff>638175</xdr:colOff>
      <xdr:row>9</xdr:row>
      <xdr:rowOff>104775</xdr:rowOff>
    </xdr:from>
    <xdr:to>
      <xdr:col>8</xdr:col>
      <xdr:colOff>657225</xdr:colOff>
      <xdr:row>14</xdr:row>
      <xdr:rowOff>171450</xdr:rowOff>
    </xdr:to>
    <xdr:sp macro="[0]!listServices" textlink="">
      <xdr:nvSpPr>
        <xdr:cNvPr id="3" name="矩形: 圆角 2">
          <a:extLst>
            <a:ext uri="{FF2B5EF4-FFF2-40B4-BE49-F238E27FC236}">
              <a16:creationId xmlns:a16="http://schemas.microsoft.com/office/drawing/2014/main" id="{67197BFC-C377-4DB2-B5AA-678048650C43}"/>
            </a:ext>
          </a:extLst>
        </xdr:cNvPr>
        <xdr:cNvSpPr/>
      </xdr:nvSpPr>
      <xdr:spPr>
        <a:xfrm>
          <a:off x="5514975" y="173355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2. List Services</a:t>
          </a:r>
          <a:endParaRPr lang="zh-CN" altLang="en-US" sz="1100"/>
        </a:p>
      </xdr:txBody>
    </xdr:sp>
    <xdr:clientData/>
  </xdr:twoCellAnchor>
  <xdr:twoCellAnchor>
    <xdr:from>
      <xdr:col>6</xdr:col>
      <xdr:colOff>657225</xdr:colOff>
      <xdr:row>16</xdr:row>
      <xdr:rowOff>28575</xdr:rowOff>
    </xdr:from>
    <xdr:to>
      <xdr:col>8</xdr:col>
      <xdr:colOff>676275</xdr:colOff>
      <xdr:row>21</xdr:row>
      <xdr:rowOff>95250</xdr:rowOff>
    </xdr:to>
    <xdr:sp macro="[0]!getService" textlink="">
      <xdr:nvSpPr>
        <xdr:cNvPr id="4" name="矩形: 圆角 3">
          <a:extLst>
            <a:ext uri="{FF2B5EF4-FFF2-40B4-BE49-F238E27FC236}">
              <a16:creationId xmlns:a16="http://schemas.microsoft.com/office/drawing/2014/main" id="{7EF8BCDB-E605-4BC7-B781-18F532111703}"/>
            </a:ext>
          </a:extLst>
        </xdr:cNvPr>
        <xdr:cNvSpPr/>
      </xdr:nvSpPr>
      <xdr:spPr>
        <a:xfrm>
          <a:off x="5534025" y="2924175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3. Generate Dictionary</a:t>
          </a:r>
          <a:endParaRPr lang="zh-CN" altLang="en-US" sz="1100"/>
        </a:p>
      </xdr:txBody>
    </xdr:sp>
    <xdr:clientData/>
  </xdr:twoCellAnchor>
  <xdr:twoCellAnchor>
    <xdr:from>
      <xdr:col>9</xdr:col>
      <xdr:colOff>676275</xdr:colOff>
      <xdr:row>2</xdr:row>
      <xdr:rowOff>171450</xdr:rowOff>
    </xdr:from>
    <xdr:to>
      <xdr:col>12</xdr:col>
      <xdr:colOff>9525</xdr:colOff>
      <xdr:row>8</xdr:row>
      <xdr:rowOff>57150</xdr:rowOff>
    </xdr:to>
    <xdr:sp macro="[0]!saveData" textlink="">
      <xdr:nvSpPr>
        <xdr:cNvPr id="5" name="矩形: 圆角 4">
          <a:extLst>
            <a:ext uri="{FF2B5EF4-FFF2-40B4-BE49-F238E27FC236}">
              <a16:creationId xmlns:a16="http://schemas.microsoft.com/office/drawing/2014/main" id="{07935DCF-9E88-46CA-823B-DC81F0849AB3}"/>
            </a:ext>
          </a:extLst>
        </xdr:cNvPr>
        <xdr:cNvSpPr/>
      </xdr:nvSpPr>
      <xdr:spPr>
        <a:xfrm>
          <a:off x="7610475" y="533400"/>
          <a:ext cx="1390650" cy="9715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1. Save Data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zoomScale="130" zoomScaleNormal="130" workbookViewId="0">
      <selection activeCell="B10" sqref="B10"/>
    </sheetView>
  </sheetViews>
  <sheetFormatPr defaultRowHeight="14.25" x14ac:dyDescent="0.2"/>
  <cols>
    <col min="1" max="1" width="15.3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  <col min="6" max="6" width="14.375" bestFit="1" customWidth="1"/>
    <col min="7" max="7" width="12.625" bestFit="1" customWidth="1"/>
    <col min="8" max="8" width="8.625" bestFit="1" customWidth="1"/>
  </cols>
  <sheetData>
    <row r="1" spans="1:8" x14ac:dyDescent="0.2">
      <c r="A1" t="s">
        <v>61</v>
      </c>
      <c r="B1" s="1">
        <v>42895.889236111114</v>
      </c>
    </row>
    <row r="2" spans="1:8" x14ac:dyDescent="0.2">
      <c r="A2" t="s">
        <v>60</v>
      </c>
      <c r="B2" s="1">
        <v>42895.852662037039</v>
      </c>
    </row>
    <row r="3" spans="1:8" x14ac:dyDescent="0.2">
      <c r="A3" t="s">
        <v>1</v>
      </c>
      <c r="B3" t="s">
        <v>31</v>
      </c>
      <c r="C3" t="s">
        <v>33</v>
      </c>
      <c r="D3" t="s">
        <v>42</v>
      </c>
      <c r="E3" t="s">
        <v>5</v>
      </c>
      <c r="F3" t="s">
        <v>62</v>
      </c>
      <c r="G3" t="s">
        <v>63</v>
      </c>
      <c r="H3" t="s">
        <v>37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0"/>
  <sheetViews>
    <sheetView zoomScale="130" zoomScaleNormal="130" workbookViewId="0">
      <selection activeCell="B2" sqref="B2"/>
    </sheetView>
  </sheetViews>
  <sheetFormatPr defaultRowHeight="14.25" x14ac:dyDescent="0.2"/>
  <cols>
    <col min="1" max="1" width="14.375" bestFit="1" customWidth="1"/>
    <col min="2" max="2" width="16.875" bestFit="1" customWidth="1"/>
    <col min="3" max="3" width="5" bestFit="1" customWidth="1"/>
    <col min="4" max="4" width="14.375" bestFit="1" customWidth="1"/>
    <col min="5" max="5" width="12.625" bestFit="1" customWidth="1"/>
    <col min="6" max="6" width="18.125" bestFit="1" customWidth="1"/>
  </cols>
  <sheetData>
    <row r="1" spans="1:6" x14ac:dyDescent="0.2">
      <c r="A1" t="s">
        <v>44</v>
      </c>
      <c r="B1" s="1">
        <v>42895.930902777778</v>
      </c>
    </row>
    <row r="2" spans="1:6" x14ac:dyDescent="0.2">
      <c r="A2" t="s">
        <v>67</v>
      </c>
      <c r="B2" s="1">
        <v>42895.889236111114</v>
      </c>
    </row>
    <row r="3" spans="1:6" x14ac:dyDescent="0.2">
      <c r="A3" t="s">
        <v>58</v>
      </c>
      <c r="B3" t="s">
        <v>59</v>
      </c>
      <c r="C3" t="s">
        <v>57</v>
      </c>
      <c r="D3" t="s">
        <v>64</v>
      </c>
      <c r="E3" t="s">
        <v>65</v>
      </c>
      <c r="F3" t="s">
        <v>66</v>
      </c>
    </row>
    <row r="4" spans="1:6" x14ac:dyDescent="0.2">
      <c r="A4" t="s">
        <v>22</v>
      </c>
      <c r="B4">
        <v>131</v>
      </c>
      <c r="C4">
        <v>116</v>
      </c>
      <c r="D4">
        <v>131</v>
      </c>
      <c r="E4">
        <v>116</v>
      </c>
    </row>
    <row r="5" spans="1:6" x14ac:dyDescent="0.2">
      <c r="A5" t="s">
        <v>24</v>
      </c>
      <c r="B5">
        <v>141</v>
      </c>
      <c r="C5">
        <v>819</v>
      </c>
      <c r="D5">
        <v>141</v>
      </c>
      <c r="E5">
        <v>819</v>
      </c>
    </row>
    <row r="6" spans="1:6" x14ac:dyDescent="0.2">
      <c r="A6" t="s">
        <v>25</v>
      </c>
      <c r="B6">
        <v>57</v>
      </c>
      <c r="C6">
        <v>171</v>
      </c>
      <c r="D6">
        <v>57</v>
      </c>
      <c r="E6">
        <v>171</v>
      </c>
    </row>
    <row r="7" spans="1:6" x14ac:dyDescent="0.2">
      <c r="A7" t="s">
        <v>26</v>
      </c>
      <c r="B7">
        <v>395</v>
      </c>
      <c r="C7">
        <v>88</v>
      </c>
      <c r="D7">
        <v>395</v>
      </c>
      <c r="E7">
        <v>88</v>
      </c>
    </row>
    <row r="8" spans="1:6" x14ac:dyDescent="0.2">
      <c r="A8" t="s">
        <v>27</v>
      </c>
      <c r="B8">
        <v>84</v>
      </c>
      <c r="C8">
        <v>761</v>
      </c>
      <c r="D8">
        <v>345</v>
      </c>
      <c r="E8">
        <v>761</v>
      </c>
      <c r="F8" t="s">
        <v>68</v>
      </c>
    </row>
    <row r="9" spans="1:6" x14ac:dyDescent="0.2">
      <c r="A9" t="s">
        <v>28</v>
      </c>
      <c r="B9">
        <v>35</v>
      </c>
      <c r="C9">
        <v>24</v>
      </c>
      <c r="D9">
        <v>35</v>
      </c>
      <c r="E9">
        <v>24</v>
      </c>
    </row>
    <row r="10" spans="1:6" x14ac:dyDescent="0.2">
      <c r="A10" t="s">
        <v>29</v>
      </c>
      <c r="B10">
        <v>115</v>
      </c>
      <c r="C10">
        <v>153</v>
      </c>
      <c r="D10">
        <v>116</v>
      </c>
      <c r="E10">
        <v>156</v>
      </c>
      <c r="F10" t="s">
        <v>69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6"/>
  <sheetViews>
    <sheetView zoomScale="115" zoomScaleNormal="115" workbookViewId="0">
      <selection activeCell="C40" sqref="C40:F40"/>
    </sheetView>
  </sheetViews>
  <sheetFormatPr defaultRowHeight="14.25" x14ac:dyDescent="0.2"/>
  <cols>
    <col min="1" max="1" width="16.875" style="1" bestFit="1" customWidth="1"/>
    <col min="2" max="2" width="8.875" bestFit="1" customWidth="1"/>
    <col min="3" max="3" width="19.75" bestFit="1" customWidth="1"/>
    <col min="4" max="4" width="20" bestFit="1" customWidth="1"/>
    <col min="5" max="5" width="6.75" bestFit="1" customWidth="1"/>
    <col min="6" max="6" width="5" bestFit="1" customWidth="1"/>
  </cols>
  <sheetData>
    <row r="1" spans="1:6" x14ac:dyDescent="0.2">
      <c r="A1" s="1" t="s">
        <v>43</v>
      </c>
      <c r="B1" t="s">
        <v>1</v>
      </c>
      <c r="C1" t="s">
        <v>31</v>
      </c>
      <c r="D1" t="s">
        <v>33</v>
      </c>
      <c r="E1" t="s">
        <v>42</v>
      </c>
      <c r="F1" t="s">
        <v>5</v>
      </c>
    </row>
    <row r="2" spans="1:6" x14ac:dyDescent="0.2">
      <c r="A2" s="1">
        <v>42895.852662037039</v>
      </c>
      <c r="B2" t="s">
        <v>6</v>
      </c>
      <c r="C2" t="s">
        <v>22</v>
      </c>
      <c r="D2" t="s">
        <v>34</v>
      </c>
      <c r="E2">
        <v>51</v>
      </c>
      <c r="F2">
        <v>19</v>
      </c>
    </row>
    <row r="3" spans="1:6" x14ac:dyDescent="0.2">
      <c r="A3" s="1">
        <v>42895.852662037039</v>
      </c>
      <c r="B3" t="s">
        <v>8</v>
      </c>
      <c r="C3" t="s">
        <v>24</v>
      </c>
      <c r="D3" t="s">
        <v>35</v>
      </c>
      <c r="E3">
        <v>47</v>
      </c>
      <c r="F3">
        <v>21</v>
      </c>
    </row>
    <row r="4" spans="1:6" x14ac:dyDescent="0.2">
      <c r="A4" s="1">
        <v>42895.852662037039</v>
      </c>
      <c r="B4" t="s">
        <v>10</v>
      </c>
      <c r="C4" t="s">
        <v>25</v>
      </c>
      <c r="D4" t="s">
        <v>34</v>
      </c>
      <c r="E4">
        <v>87</v>
      </c>
      <c r="F4">
        <v>85</v>
      </c>
    </row>
    <row r="5" spans="1:6" x14ac:dyDescent="0.2">
      <c r="A5" s="1">
        <v>42895.852662037039</v>
      </c>
      <c r="B5" t="s">
        <v>11</v>
      </c>
      <c r="C5" t="s">
        <v>26</v>
      </c>
      <c r="D5" t="s">
        <v>35</v>
      </c>
      <c r="E5">
        <v>86</v>
      </c>
      <c r="F5">
        <v>83</v>
      </c>
    </row>
    <row r="6" spans="1:6" x14ac:dyDescent="0.2">
      <c r="A6" s="1">
        <v>42895.852662037039</v>
      </c>
      <c r="B6" t="s">
        <v>12</v>
      </c>
      <c r="C6" t="s">
        <v>54</v>
      </c>
      <c r="D6" t="s">
        <v>54</v>
      </c>
      <c r="E6">
        <v>64</v>
      </c>
      <c r="F6">
        <v>84</v>
      </c>
    </row>
    <row r="7" spans="1:6" x14ac:dyDescent="0.2">
      <c r="A7" s="1">
        <v>42895.852662037039</v>
      </c>
      <c r="B7" t="s">
        <v>13</v>
      </c>
      <c r="C7" t="s">
        <v>24</v>
      </c>
      <c r="D7" t="s">
        <v>35</v>
      </c>
      <c r="E7">
        <v>60</v>
      </c>
      <c r="F7">
        <v>58</v>
      </c>
    </row>
    <row r="8" spans="1:6" x14ac:dyDescent="0.2">
      <c r="A8" s="1">
        <v>42895.852662037039</v>
      </c>
      <c r="B8" t="s">
        <v>14</v>
      </c>
      <c r="C8" t="s">
        <v>25</v>
      </c>
      <c r="D8" t="s">
        <v>34</v>
      </c>
      <c r="E8">
        <v>65</v>
      </c>
      <c r="F8">
        <v>0</v>
      </c>
    </row>
    <row r="9" spans="1:6" x14ac:dyDescent="0.2">
      <c r="A9" s="1">
        <v>42895.852662037039</v>
      </c>
      <c r="B9" t="s">
        <v>15</v>
      </c>
      <c r="C9" t="s">
        <v>29</v>
      </c>
      <c r="D9" t="s">
        <v>34</v>
      </c>
      <c r="E9">
        <v>99</v>
      </c>
      <c r="F9">
        <v>72</v>
      </c>
    </row>
    <row r="10" spans="1:6" x14ac:dyDescent="0.2">
      <c r="A10" s="1">
        <v>42895.852662037039</v>
      </c>
      <c r="B10" t="s">
        <v>16</v>
      </c>
      <c r="C10" t="s">
        <v>27</v>
      </c>
      <c r="D10" t="s">
        <v>36</v>
      </c>
      <c r="E10">
        <v>6</v>
      </c>
      <c r="F10">
        <v>0</v>
      </c>
    </row>
    <row r="11" spans="1:6" x14ac:dyDescent="0.2">
      <c r="A11" s="1">
        <v>42895.852662037039</v>
      </c>
      <c r="B11" t="s">
        <v>17</v>
      </c>
      <c r="C11" t="s">
        <v>45</v>
      </c>
      <c r="D11" t="s">
        <v>48</v>
      </c>
      <c r="E11">
        <v>66</v>
      </c>
      <c r="F11">
        <v>56</v>
      </c>
    </row>
    <row r="12" spans="1:6" x14ac:dyDescent="0.2">
      <c r="A12" s="1">
        <v>42895.852662037039</v>
      </c>
      <c r="B12" t="s">
        <v>18</v>
      </c>
      <c r="C12" t="s">
        <v>26</v>
      </c>
      <c r="D12" t="s">
        <v>35</v>
      </c>
      <c r="E12">
        <v>89</v>
      </c>
      <c r="F12">
        <v>72</v>
      </c>
    </row>
    <row r="13" spans="1:6" x14ac:dyDescent="0.2">
      <c r="A13" s="1">
        <v>42895.852662037039</v>
      </c>
      <c r="B13" t="s">
        <v>19</v>
      </c>
      <c r="C13" t="s">
        <v>47</v>
      </c>
      <c r="D13" t="s">
        <v>56</v>
      </c>
      <c r="E13">
        <v>80</v>
      </c>
      <c r="F13">
        <v>6</v>
      </c>
    </row>
    <row r="14" spans="1:6" x14ac:dyDescent="0.2">
      <c r="A14" s="1">
        <v>42895.852662037039</v>
      </c>
      <c r="B14" t="s">
        <v>20</v>
      </c>
      <c r="C14" t="s">
        <v>28</v>
      </c>
      <c r="D14" t="s">
        <v>36</v>
      </c>
      <c r="E14">
        <v>67</v>
      </c>
      <c r="F14">
        <v>60</v>
      </c>
    </row>
    <row r="15" spans="1:6" x14ac:dyDescent="0.2">
      <c r="A15" s="1">
        <v>42895.852662037039</v>
      </c>
      <c r="B15" t="s">
        <v>21</v>
      </c>
      <c r="C15" t="s">
        <v>52</v>
      </c>
      <c r="D15" t="s">
        <v>55</v>
      </c>
      <c r="E15">
        <v>32</v>
      </c>
      <c r="F15">
        <v>33</v>
      </c>
    </row>
    <row r="16" spans="1:6" x14ac:dyDescent="0.2">
      <c r="A16" s="1">
        <v>42895.852662037039</v>
      </c>
      <c r="B16" t="s">
        <v>40</v>
      </c>
      <c r="C16" t="s">
        <v>54</v>
      </c>
      <c r="D16" t="s">
        <v>54</v>
      </c>
      <c r="E16">
        <v>93</v>
      </c>
      <c r="F16">
        <v>6</v>
      </c>
    </row>
    <row r="17" spans="1:6" x14ac:dyDescent="0.2">
      <c r="A17" s="1">
        <v>42895.889236111114</v>
      </c>
      <c r="B17" t="s">
        <v>6</v>
      </c>
      <c r="C17" t="s">
        <v>22</v>
      </c>
      <c r="D17" t="s">
        <v>34</v>
      </c>
      <c r="E17">
        <v>96</v>
      </c>
      <c r="F17">
        <v>92</v>
      </c>
    </row>
    <row r="18" spans="1:6" x14ac:dyDescent="0.2">
      <c r="A18" s="1">
        <v>42895.889236111114</v>
      </c>
      <c r="B18" t="s">
        <v>8</v>
      </c>
      <c r="C18" t="s">
        <v>24</v>
      </c>
      <c r="D18" t="s">
        <v>35</v>
      </c>
      <c r="E18">
        <v>50</v>
      </c>
      <c r="F18">
        <v>59</v>
      </c>
    </row>
    <row r="19" spans="1:6" x14ac:dyDescent="0.2">
      <c r="A19" s="1">
        <v>42895.889236111114</v>
      </c>
      <c r="B19" t="s">
        <v>10</v>
      </c>
      <c r="C19" t="s">
        <v>25</v>
      </c>
      <c r="D19" t="s">
        <v>34</v>
      </c>
      <c r="E19">
        <v>10</v>
      </c>
      <c r="F19">
        <v>94</v>
      </c>
    </row>
    <row r="20" spans="1:6" x14ac:dyDescent="0.2">
      <c r="A20" s="1">
        <v>42895.889236111114</v>
      </c>
      <c r="B20" t="s">
        <v>11</v>
      </c>
      <c r="C20" t="s">
        <v>26</v>
      </c>
      <c r="D20" t="s">
        <v>35</v>
      </c>
      <c r="E20">
        <v>350</v>
      </c>
      <c r="F20">
        <v>56</v>
      </c>
    </row>
    <row r="21" spans="1:6" x14ac:dyDescent="0.2">
      <c r="A21" s="1">
        <v>42895.889236111114</v>
      </c>
      <c r="B21" t="s">
        <v>12</v>
      </c>
      <c r="C21" t="s">
        <v>54</v>
      </c>
      <c r="D21" t="s">
        <v>54</v>
      </c>
      <c r="E21">
        <v>47</v>
      </c>
      <c r="F21">
        <v>53</v>
      </c>
    </row>
    <row r="22" spans="1:6" x14ac:dyDescent="0.2">
      <c r="A22" s="1">
        <v>42895.889236111114</v>
      </c>
      <c r="B22" t="s">
        <v>13</v>
      </c>
      <c r="C22" t="s">
        <v>24</v>
      </c>
      <c r="D22" t="s">
        <v>35</v>
      </c>
      <c r="E22">
        <v>91</v>
      </c>
      <c r="F22">
        <v>760</v>
      </c>
    </row>
    <row r="23" spans="1:6" x14ac:dyDescent="0.2">
      <c r="A23" s="1">
        <v>42895.889236111114</v>
      </c>
      <c r="B23" t="s">
        <v>14</v>
      </c>
      <c r="C23" t="s">
        <v>25</v>
      </c>
      <c r="D23" t="s">
        <v>34</v>
      </c>
      <c r="E23">
        <v>47</v>
      </c>
      <c r="F23">
        <v>77</v>
      </c>
    </row>
    <row r="24" spans="1:6" x14ac:dyDescent="0.2">
      <c r="A24" s="1">
        <v>42895.889236111114</v>
      </c>
      <c r="B24" t="s">
        <v>15</v>
      </c>
      <c r="C24" t="s">
        <v>29</v>
      </c>
      <c r="D24" t="s">
        <v>34</v>
      </c>
      <c r="E24">
        <v>67</v>
      </c>
      <c r="F24">
        <v>83</v>
      </c>
    </row>
    <row r="25" spans="1:6" x14ac:dyDescent="0.2">
      <c r="A25" s="1">
        <v>42895.889236111114</v>
      </c>
      <c r="B25" t="s">
        <v>16</v>
      </c>
      <c r="C25" t="s">
        <v>27</v>
      </c>
      <c r="D25" t="s">
        <v>36</v>
      </c>
      <c r="E25">
        <v>290</v>
      </c>
      <c r="F25">
        <v>81</v>
      </c>
    </row>
    <row r="26" spans="1:6" x14ac:dyDescent="0.2">
      <c r="A26" s="1">
        <v>42895.889236111114</v>
      </c>
      <c r="B26" t="s">
        <v>17</v>
      </c>
      <c r="C26" t="s">
        <v>45</v>
      </c>
      <c r="D26" t="s">
        <v>48</v>
      </c>
      <c r="E26">
        <v>35</v>
      </c>
      <c r="F26">
        <v>24</v>
      </c>
    </row>
    <row r="27" spans="1:6" x14ac:dyDescent="0.2">
      <c r="A27" s="1">
        <v>42895.889236111114</v>
      </c>
      <c r="B27" t="s">
        <v>18</v>
      </c>
      <c r="C27" t="s">
        <v>26</v>
      </c>
      <c r="D27" t="s">
        <v>35</v>
      </c>
      <c r="E27">
        <v>45</v>
      </c>
      <c r="F27">
        <v>32</v>
      </c>
    </row>
    <row r="28" spans="1:6" x14ac:dyDescent="0.2">
      <c r="A28" s="1">
        <v>42895.889236111114</v>
      </c>
      <c r="B28" t="s">
        <v>19</v>
      </c>
      <c r="C28" t="s">
        <v>47</v>
      </c>
      <c r="D28" t="s">
        <v>56</v>
      </c>
      <c r="E28">
        <v>55</v>
      </c>
      <c r="F28">
        <v>680</v>
      </c>
    </row>
    <row r="29" spans="1:6" x14ac:dyDescent="0.2">
      <c r="A29" s="1">
        <v>42895.889236111114</v>
      </c>
      <c r="B29" t="s">
        <v>20</v>
      </c>
      <c r="C29" t="s">
        <v>70</v>
      </c>
      <c r="D29" t="s">
        <v>36</v>
      </c>
      <c r="E29">
        <v>79</v>
      </c>
      <c r="F29">
        <v>44</v>
      </c>
    </row>
    <row r="30" spans="1:6" x14ac:dyDescent="0.2">
      <c r="A30" s="1">
        <v>42895.889236111114</v>
      </c>
      <c r="B30" t="s">
        <v>21</v>
      </c>
      <c r="C30" t="s">
        <v>52</v>
      </c>
      <c r="D30" t="s">
        <v>55</v>
      </c>
      <c r="E30">
        <v>49</v>
      </c>
      <c r="F30">
        <v>73</v>
      </c>
    </row>
    <row r="31" spans="1:6" x14ac:dyDescent="0.2">
      <c r="A31" s="1">
        <v>42895.889236111114</v>
      </c>
      <c r="B31" t="s">
        <v>40</v>
      </c>
      <c r="C31" t="s">
        <v>54</v>
      </c>
      <c r="D31" t="s">
        <v>54</v>
      </c>
      <c r="E31">
        <v>56</v>
      </c>
      <c r="F31">
        <v>4</v>
      </c>
    </row>
    <row r="32" spans="1:6" x14ac:dyDescent="0.2">
      <c r="A32" s="1">
        <v>42895.930902777778</v>
      </c>
      <c r="B32" t="s">
        <v>6</v>
      </c>
      <c r="C32" t="s">
        <v>22</v>
      </c>
      <c r="D32" t="s">
        <v>34</v>
      </c>
      <c r="E32">
        <v>96</v>
      </c>
      <c r="F32">
        <v>92</v>
      </c>
    </row>
    <row r="33" spans="1:6" x14ac:dyDescent="0.2">
      <c r="A33" s="1">
        <v>42895.930902777778</v>
      </c>
      <c r="B33" t="s">
        <v>8</v>
      </c>
      <c r="C33" t="s">
        <v>24</v>
      </c>
      <c r="D33" t="s">
        <v>35</v>
      </c>
      <c r="E33">
        <v>50</v>
      </c>
      <c r="F33">
        <v>59</v>
      </c>
    </row>
    <row r="34" spans="1:6" x14ac:dyDescent="0.2">
      <c r="A34" s="1">
        <v>42895.930902777778</v>
      </c>
      <c r="B34" t="s">
        <v>10</v>
      </c>
      <c r="C34" t="s">
        <v>25</v>
      </c>
      <c r="D34" t="s">
        <v>34</v>
      </c>
      <c r="E34">
        <v>10</v>
      </c>
      <c r="F34">
        <v>94</v>
      </c>
    </row>
    <row r="35" spans="1:6" x14ac:dyDescent="0.2">
      <c r="A35" s="1">
        <v>42895.930902777778</v>
      </c>
      <c r="B35" t="s">
        <v>11</v>
      </c>
      <c r="C35" t="s">
        <v>26</v>
      </c>
      <c r="D35" t="s">
        <v>35</v>
      </c>
      <c r="E35">
        <v>350</v>
      </c>
      <c r="F35">
        <v>56</v>
      </c>
    </row>
    <row r="36" spans="1:6" x14ac:dyDescent="0.2">
      <c r="A36" s="1">
        <v>42895.930902777778</v>
      </c>
      <c r="B36" t="s">
        <v>12</v>
      </c>
      <c r="C36" t="s">
        <v>54</v>
      </c>
      <c r="D36" t="s">
        <v>54</v>
      </c>
      <c r="E36">
        <v>47</v>
      </c>
      <c r="F36">
        <v>53</v>
      </c>
    </row>
    <row r="37" spans="1:6" x14ac:dyDescent="0.2">
      <c r="A37" s="1">
        <v>42895.930902777778</v>
      </c>
      <c r="B37" t="s">
        <v>13</v>
      </c>
      <c r="C37" t="s">
        <v>24</v>
      </c>
      <c r="D37" t="s">
        <v>35</v>
      </c>
      <c r="E37">
        <v>91</v>
      </c>
      <c r="F37">
        <v>760</v>
      </c>
    </row>
    <row r="38" spans="1:6" x14ac:dyDescent="0.2">
      <c r="A38" s="1">
        <v>42895.930902777778</v>
      </c>
      <c r="B38" t="s">
        <v>14</v>
      </c>
      <c r="C38" t="s">
        <v>25</v>
      </c>
      <c r="D38" t="s">
        <v>34</v>
      </c>
      <c r="E38">
        <v>47</v>
      </c>
      <c r="F38">
        <v>77</v>
      </c>
    </row>
    <row r="39" spans="1:6" x14ac:dyDescent="0.2">
      <c r="A39" s="1">
        <v>42895.930902777778</v>
      </c>
      <c r="B39" t="s">
        <v>15</v>
      </c>
      <c r="C39" t="s">
        <v>29</v>
      </c>
      <c r="D39" t="s">
        <v>34</v>
      </c>
      <c r="E39">
        <v>66</v>
      </c>
      <c r="F39">
        <v>83</v>
      </c>
    </row>
    <row r="40" spans="1:6" x14ac:dyDescent="0.2">
      <c r="A40" s="1">
        <v>42895.930902777778</v>
      </c>
      <c r="B40" t="s">
        <v>16</v>
      </c>
      <c r="C40" t="s">
        <v>27</v>
      </c>
      <c r="D40" t="s">
        <v>36</v>
      </c>
      <c r="E40">
        <v>29</v>
      </c>
      <c r="F40">
        <v>81</v>
      </c>
    </row>
    <row r="41" spans="1:6" x14ac:dyDescent="0.2">
      <c r="A41" s="1">
        <v>42895.930902777778</v>
      </c>
      <c r="B41" t="s">
        <v>17</v>
      </c>
      <c r="C41" t="s">
        <v>45</v>
      </c>
      <c r="D41" t="s">
        <v>48</v>
      </c>
      <c r="E41">
        <v>35</v>
      </c>
      <c r="F41">
        <v>24</v>
      </c>
    </row>
    <row r="42" spans="1:6" x14ac:dyDescent="0.2">
      <c r="A42" s="1">
        <v>42895.930902777778</v>
      </c>
      <c r="B42" t="s">
        <v>18</v>
      </c>
      <c r="C42" t="s">
        <v>26</v>
      </c>
      <c r="D42" t="s">
        <v>35</v>
      </c>
      <c r="E42">
        <v>45</v>
      </c>
      <c r="F42">
        <v>32</v>
      </c>
    </row>
    <row r="43" spans="1:6" x14ac:dyDescent="0.2">
      <c r="A43" s="1">
        <v>42895.930902777778</v>
      </c>
      <c r="B43" t="s">
        <v>19</v>
      </c>
      <c r="C43" t="s">
        <v>47</v>
      </c>
      <c r="D43" t="s">
        <v>56</v>
      </c>
      <c r="E43">
        <v>55</v>
      </c>
      <c r="F43">
        <v>680</v>
      </c>
    </row>
    <row r="44" spans="1:6" x14ac:dyDescent="0.2">
      <c r="A44" s="1">
        <v>42895.930902777778</v>
      </c>
      <c r="B44" t="s">
        <v>20</v>
      </c>
      <c r="C44" t="s">
        <v>70</v>
      </c>
      <c r="D44" t="s">
        <v>36</v>
      </c>
      <c r="E44">
        <v>79</v>
      </c>
      <c r="F44">
        <v>44</v>
      </c>
    </row>
    <row r="45" spans="1:6" x14ac:dyDescent="0.2">
      <c r="A45" s="1">
        <v>42895.930902777778</v>
      </c>
      <c r="B45" t="s">
        <v>21</v>
      </c>
      <c r="C45" t="s">
        <v>52</v>
      </c>
      <c r="D45" t="s">
        <v>55</v>
      </c>
      <c r="E45">
        <v>49</v>
      </c>
      <c r="F45">
        <v>70</v>
      </c>
    </row>
    <row r="46" spans="1:6" x14ac:dyDescent="0.2">
      <c r="A46" s="1">
        <v>42895.930902777778</v>
      </c>
      <c r="B46" t="s">
        <v>40</v>
      </c>
      <c r="C46" t="s">
        <v>54</v>
      </c>
      <c r="D46" t="s">
        <v>54</v>
      </c>
      <c r="E46">
        <v>56</v>
      </c>
      <c r="F46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4"/>
  <sheetViews>
    <sheetView zoomScale="145" zoomScaleNormal="145" workbookViewId="0">
      <selection activeCell="B13" sqref="B13"/>
    </sheetView>
  </sheetViews>
  <sheetFormatPr defaultRowHeight="14.25" x14ac:dyDescent="0.2"/>
  <cols>
    <col min="1" max="1" width="7.5" bestFit="1" customWidth="1"/>
    <col min="2" max="2" width="30.625" customWidth="1"/>
  </cols>
  <sheetData>
    <row r="1" spans="1:2" x14ac:dyDescent="0.2">
      <c r="A1" t="s">
        <v>1</v>
      </c>
      <c r="B1" t="s">
        <v>31</v>
      </c>
    </row>
    <row r="2" spans="1:2" x14ac:dyDescent="0.2">
      <c r="A2" t="s">
        <v>7</v>
      </c>
      <c r="B2" t="s">
        <v>23</v>
      </c>
    </row>
    <row r="3" spans="1:2" x14ac:dyDescent="0.2">
      <c r="A3" t="s">
        <v>9</v>
      </c>
      <c r="B3" t="s">
        <v>24</v>
      </c>
    </row>
    <row r="4" spans="1:2" x14ac:dyDescent="0.2">
      <c r="A4" t="s">
        <v>10</v>
      </c>
      <c r="B4" t="s">
        <v>25</v>
      </c>
    </row>
    <row r="5" spans="1:2" x14ac:dyDescent="0.2">
      <c r="A5" t="s">
        <v>11</v>
      </c>
      <c r="B5" t="s">
        <v>26</v>
      </c>
    </row>
    <row r="6" spans="1:2" x14ac:dyDescent="0.2">
      <c r="A6" t="s">
        <v>13</v>
      </c>
      <c r="B6" t="s">
        <v>24</v>
      </c>
    </row>
    <row r="7" spans="1:2" x14ac:dyDescent="0.2">
      <c r="A7" t="s">
        <v>14</v>
      </c>
      <c r="B7" t="s">
        <v>25</v>
      </c>
    </row>
    <row r="8" spans="1:2" x14ac:dyDescent="0.2">
      <c r="A8" t="s">
        <v>15</v>
      </c>
      <c r="B8" t="s">
        <v>49</v>
      </c>
    </row>
    <row r="9" spans="1:2" x14ac:dyDescent="0.2">
      <c r="A9" t="s">
        <v>16</v>
      </c>
      <c r="B9" t="s">
        <v>27</v>
      </c>
    </row>
    <row r="10" spans="1:2" x14ac:dyDescent="0.2">
      <c r="A10" t="s">
        <v>17</v>
      </c>
      <c r="B10" t="s">
        <v>46</v>
      </c>
    </row>
    <row r="11" spans="1:2" x14ac:dyDescent="0.2">
      <c r="A11" t="s">
        <v>18</v>
      </c>
      <c r="B11" t="s">
        <v>50</v>
      </c>
    </row>
    <row r="12" spans="1:2" x14ac:dyDescent="0.2">
      <c r="A12" t="s">
        <v>19</v>
      </c>
      <c r="B12" t="s">
        <v>51</v>
      </c>
    </row>
    <row r="13" spans="1:2" x14ac:dyDescent="0.2">
      <c r="A13" t="s">
        <v>20</v>
      </c>
      <c r="B13" t="s">
        <v>28</v>
      </c>
    </row>
    <row r="14" spans="1:2" x14ac:dyDescent="0.2">
      <c r="A14" t="s">
        <v>21</v>
      </c>
      <c r="B14" t="s">
        <v>53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8"/>
  <sheetViews>
    <sheetView zoomScale="145" zoomScaleNormal="145" workbookViewId="0">
      <selection activeCell="C1" sqref="C1"/>
    </sheetView>
  </sheetViews>
  <sheetFormatPr defaultRowHeight="14.25" x14ac:dyDescent="0.2"/>
  <cols>
    <col min="1" max="1" width="9.75" bestFit="1" customWidth="1"/>
    <col min="2" max="2" width="17.625" bestFit="1" customWidth="1"/>
  </cols>
  <sheetData>
    <row r="1" spans="1:2" x14ac:dyDescent="0.2">
      <c r="A1" t="s">
        <v>30</v>
      </c>
      <c r="B1" t="s">
        <v>32</v>
      </c>
    </row>
    <row r="2" spans="1:2" x14ac:dyDescent="0.2">
      <c r="A2" t="s">
        <v>22</v>
      </c>
      <c r="B2" t="s">
        <v>34</v>
      </c>
    </row>
    <row r="3" spans="1:2" x14ac:dyDescent="0.2">
      <c r="A3" t="s">
        <v>24</v>
      </c>
      <c r="B3" t="s">
        <v>35</v>
      </c>
    </row>
    <row r="4" spans="1:2" x14ac:dyDescent="0.2">
      <c r="A4" t="s">
        <v>25</v>
      </c>
      <c r="B4" t="s">
        <v>34</v>
      </c>
    </row>
    <row r="5" spans="1:2" x14ac:dyDescent="0.2">
      <c r="A5" t="s">
        <v>26</v>
      </c>
      <c r="B5" t="s">
        <v>35</v>
      </c>
    </row>
    <row r="6" spans="1:2" x14ac:dyDescent="0.2">
      <c r="A6" t="s">
        <v>27</v>
      </c>
      <c r="B6" t="s">
        <v>36</v>
      </c>
    </row>
    <row r="7" spans="1:2" x14ac:dyDescent="0.2">
      <c r="A7" t="s">
        <v>28</v>
      </c>
      <c r="B7" t="s">
        <v>36</v>
      </c>
    </row>
    <row r="8" spans="1:2" x14ac:dyDescent="0.2">
      <c r="A8" t="s">
        <v>29</v>
      </c>
      <c r="B8" t="s">
        <v>34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7"/>
  <sheetViews>
    <sheetView workbookViewId="0">
      <selection activeCell="F23" sqref="F23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38</v>
      </c>
      <c r="B1" s="1">
        <v>42895.889239236109</v>
      </c>
    </row>
    <row r="2" spans="1:5" x14ac:dyDescent="0.2">
      <c r="A2" t="s">
        <v>0</v>
      </c>
      <c r="B2" t="s">
        <v>30</v>
      </c>
      <c r="C2" t="s">
        <v>32</v>
      </c>
      <c r="D2" t="s">
        <v>2</v>
      </c>
      <c r="E2" t="s">
        <v>4</v>
      </c>
    </row>
    <row r="3" spans="1:5" x14ac:dyDescent="0.2">
      <c r="A3" t="s">
        <v>6</v>
      </c>
      <c r="D3">
        <v>96</v>
      </c>
      <c r="E3">
        <v>92</v>
      </c>
    </row>
    <row r="4" spans="1:5" x14ac:dyDescent="0.2">
      <c r="A4" t="s">
        <v>8</v>
      </c>
      <c r="D4">
        <v>50</v>
      </c>
      <c r="E4">
        <v>59</v>
      </c>
    </row>
    <row r="5" spans="1:5" x14ac:dyDescent="0.2">
      <c r="A5" t="s">
        <v>10</v>
      </c>
      <c r="D5">
        <v>10</v>
      </c>
      <c r="E5">
        <v>94</v>
      </c>
    </row>
    <row r="6" spans="1:5" x14ac:dyDescent="0.2">
      <c r="A6" t="s">
        <v>11</v>
      </c>
      <c r="D6">
        <v>35</v>
      </c>
      <c r="E6">
        <v>56</v>
      </c>
    </row>
    <row r="7" spans="1:5" x14ac:dyDescent="0.2">
      <c r="A7" t="s">
        <v>12</v>
      </c>
      <c r="D7">
        <v>47</v>
      </c>
      <c r="E7">
        <v>53</v>
      </c>
    </row>
    <row r="8" spans="1:5" x14ac:dyDescent="0.2">
      <c r="A8" t="s">
        <v>13</v>
      </c>
      <c r="D8">
        <v>91</v>
      </c>
      <c r="E8">
        <v>76</v>
      </c>
    </row>
    <row r="9" spans="1:5" x14ac:dyDescent="0.2">
      <c r="A9" t="s">
        <v>14</v>
      </c>
      <c r="D9">
        <v>47</v>
      </c>
      <c r="E9">
        <v>77</v>
      </c>
    </row>
    <row r="10" spans="1:5" x14ac:dyDescent="0.2">
      <c r="A10" t="s">
        <v>15</v>
      </c>
      <c r="D10">
        <v>67</v>
      </c>
      <c r="E10">
        <v>83</v>
      </c>
    </row>
    <row r="11" spans="1:5" x14ac:dyDescent="0.2">
      <c r="A11" t="s">
        <v>16</v>
      </c>
      <c r="D11">
        <v>29</v>
      </c>
      <c r="E11">
        <v>81</v>
      </c>
    </row>
    <row r="12" spans="1:5" x14ac:dyDescent="0.2">
      <c r="A12" t="s">
        <v>17</v>
      </c>
      <c r="D12">
        <v>35</v>
      </c>
      <c r="E12">
        <v>24</v>
      </c>
    </row>
    <row r="13" spans="1:5" x14ac:dyDescent="0.2">
      <c r="A13" t="s">
        <v>18</v>
      </c>
      <c r="D13">
        <v>45</v>
      </c>
      <c r="E13">
        <v>32</v>
      </c>
    </row>
    <row r="14" spans="1:5" x14ac:dyDescent="0.2">
      <c r="A14" t="s">
        <v>19</v>
      </c>
      <c r="D14">
        <v>55</v>
      </c>
      <c r="E14">
        <v>68</v>
      </c>
    </row>
    <row r="15" spans="1:5" x14ac:dyDescent="0.2">
      <c r="A15" t="s">
        <v>20</v>
      </c>
      <c r="D15">
        <v>79</v>
      </c>
      <c r="E15">
        <v>44</v>
      </c>
    </row>
    <row r="16" spans="1:5" x14ac:dyDescent="0.2">
      <c r="A16" t="s">
        <v>21</v>
      </c>
      <c r="D16">
        <v>49</v>
      </c>
      <c r="E16">
        <v>73</v>
      </c>
    </row>
    <row r="17" spans="1:5" x14ac:dyDescent="0.2">
      <c r="A17" t="s">
        <v>40</v>
      </c>
      <c r="D17">
        <v>56</v>
      </c>
      <c r="E17">
        <v>4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zoomScaleNormal="100" workbookViewId="0">
      <selection activeCell="F18" sqref="F18"/>
    </sheetView>
  </sheetViews>
  <sheetFormatPr defaultRowHeight="14.25" x14ac:dyDescent="0.2"/>
  <cols>
    <col min="1" max="1" width="8.875" bestFit="1" customWidth="1"/>
    <col min="2" max="2" width="16.875" bestFit="1" customWidth="1"/>
    <col min="3" max="3" width="17.625" bestFit="1" customWidth="1"/>
    <col min="4" max="4" width="6.625" bestFit="1" customWidth="1"/>
    <col min="5" max="5" width="5" bestFit="1" customWidth="1"/>
  </cols>
  <sheetData>
    <row r="1" spans="1:5" x14ac:dyDescent="0.2">
      <c r="A1" t="s">
        <v>39</v>
      </c>
      <c r="B1" s="1">
        <f ca="1">NOW()</f>
        <v>42895.973865509259</v>
      </c>
    </row>
    <row r="2" spans="1:5" x14ac:dyDescent="0.2">
      <c r="A2" t="s">
        <v>1</v>
      </c>
      <c r="B2" t="s">
        <v>31</v>
      </c>
      <c r="C2" t="s">
        <v>33</v>
      </c>
      <c r="D2" t="s">
        <v>3</v>
      </c>
      <c r="E2" t="s">
        <v>5</v>
      </c>
    </row>
    <row r="3" spans="1:5" x14ac:dyDescent="0.2">
      <c r="A3" t="s">
        <v>7</v>
      </c>
      <c r="D3">
        <f ca="1">ROUNDDOWN(RAND()*100,0)</f>
        <v>69</v>
      </c>
      <c r="E3">
        <f ca="1">ROUNDDOWN(RAND()*100,0)</f>
        <v>43</v>
      </c>
    </row>
    <row r="4" spans="1:5" x14ac:dyDescent="0.2">
      <c r="A4" t="s">
        <v>9</v>
      </c>
      <c r="D4">
        <f t="shared" ref="D4:E17" ca="1" si="0">ROUNDDOWN(RAND()*100,0)</f>
        <v>70</v>
      </c>
      <c r="E4">
        <f t="shared" ca="1" si="0"/>
        <v>13</v>
      </c>
    </row>
    <row r="5" spans="1:5" x14ac:dyDescent="0.2">
      <c r="A5" t="s">
        <v>10</v>
      </c>
      <c r="D5">
        <f t="shared" ca="1" si="0"/>
        <v>21</v>
      </c>
      <c r="E5">
        <f t="shared" ca="1" si="0"/>
        <v>29</v>
      </c>
    </row>
    <row r="6" spans="1:5" x14ac:dyDescent="0.2">
      <c r="A6" t="s">
        <v>11</v>
      </c>
      <c r="D6">
        <f t="shared" ca="1" si="0"/>
        <v>61</v>
      </c>
      <c r="E6">
        <f t="shared" ca="1" si="0"/>
        <v>79</v>
      </c>
    </row>
    <row r="7" spans="1:5" x14ac:dyDescent="0.2">
      <c r="A7" t="s">
        <v>12</v>
      </c>
      <c r="D7">
        <f t="shared" ca="1" si="0"/>
        <v>49</v>
      </c>
      <c r="E7">
        <f t="shared" ca="1" si="0"/>
        <v>91</v>
      </c>
    </row>
    <row r="8" spans="1:5" x14ac:dyDescent="0.2">
      <c r="A8" t="s">
        <v>13</v>
      </c>
      <c r="D8">
        <f t="shared" ca="1" si="0"/>
        <v>20</v>
      </c>
      <c r="E8">
        <f t="shared" ca="1" si="0"/>
        <v>60</v>
      </c>
    </row>
    <row r="9" spans="1:5" x14ac:dyDescent="0.2">
      <c r="A9" t="s">
        <v>14</v>
      </c>
      <c r="D9">
        <f t="shared" ca="1" si="0"/>
        <v>70</v>
      </c>
      <c r="E9">
        <f t="shared" ca="1" si="0"/>
        <v>8</v>
      </c>
    </row>
    <row r="10" spans="1:5" x14ac:dyDescent="0.2">
      <c r="A10" t="s">
        <v>15</v>
      </c>
      <c r="D10">
        <f t="shared" ca="1" si="0"/>
        <v>57</v>
      </c>
      <c r="E10">
        <f t="shared" ca="1" si="0"/>
        <v>48</v>
      </c>
    </row>
    <row r="11" spans="1:5" x14ac:dyDescent="0.2">
      <c r="A11" t="s">
        <v>16</v>
      </c>
      <c r="D11">
        <f t="shared" ca="1" si="0"/>
        <v>69</v>
      </c>
      <c r="E11">
        <f t="shared" ca="1" si="0"/>
        <v>66</v>
      </c>
    </row>
    <row r="12" spans="1:5" x14ac:dyDescent="0.2">
      <c r="A12" t="s">
        <v>17</v>
      </c>
      <c r="D12">
        <f t="shared" ca="1" si="0"/>
        <v>8</v>
      </c>
      <c r="E12">
        <f t="shared" ca="1" si="0"/>
        <v>19</v>
      </c>
    </row>
    <row r="13" spans="1:5" x14ac:dyDescent="0.2">
      <c r="A13" t="s">
        <v>18</v>
      </c>
      <c r="D13">
        <f t="shared" ca="1" si="0"/>
        <v>16</v>
      </c>
      <c r="E13">
        <f t="shared" ca="1" si="0"/>
        <v>32</v>
      </c>
    </row>
    <row r="14" spans="1:5" x14ac:dyDescent="0.2">
      <c r="A14" t="s">
        <v>19</v>
      </c>
      <c r="D14">
        <f t="shared" ca="1" si="0"/>
        <v>7</v>
      </c>
      <c r="E14">
        <f t="shared" ca="1" si="0"/>
        <v>66</v>
      </c>
    </row>
    <row r="15" spans="1:5" x14ac:dyDescent="0.2">
      <c r="A15" t="s">
        <v>20</v>
      </c>
      <c r="D15">
        <f t="shared" ca="1" si="0"/>
        <v>89</v>
      </c>
      <c r="E15">
        <f t="shared" ca="1" si="0"/>
        <v>48</v>
      </c>
    </row>
    <row r="16" spans="1:5" x14ac:dyDescent="0.2">
      <c r="A16" t="s">
        <v>21</v>
      </c>
      <c r="D16">
        <f t="shared" ca="1" si="0"/>
        <v>65</v>
      </c>
      <c r="E16">
        <f t="shared" ca="1" si="0"/>
        <v>77</v>
      </c>
    </row>
    <row r="17" spans="1:5" x14ac:dyDescent="0.2">
      <c r="A17" t="s">
        <v>41</v>
      </c>
      <c r="D17">
        <f t="shared" ca="1" si="0"/>
        <v>13</v>
      </c>
      <c r="E17">
        <f t="shared" ca="1" si="0"/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statistic</vt:lpstr>
      <vt:lpstr>report</vt:lpstr>
      <vt:lpstr>his-data</vt:lpstr>
      <vt:lpstr>p-s-index</vt:lpstr>
      <vt:lpstr>s-r-index</vt:lpstr>
      <vt:lpstr>data-new</vt:lpstr>
      <vt:lpstr>data-src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 Zeng</dc:creator>
  <cp:lastModifiedBy>LZ Zeng</cp:lastModifiedBy>
  <dcterms:created xsi:type="dcterms:W3CDTF">2017-06-07T12:45:20Z</dcterms:created>
  <dcterms:modified xsi:type="dcterms:W3CDTF">2017-06-09T15:24:25Z</dcterms:modified>
</cp:coreProperties>
</file>