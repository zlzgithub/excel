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Excel\"/>
    </mc:Choice>
  </mc:AlternateContent>
  <bookViews>
    <workbookView xWindow="0" yWindow="0" windowWidth="20490" windowHeight="8760" tabRatio="798" activeTab="8"/>
  </bookViews>
  <sheets>
    <sheet name="statistic" sheetId="1" r:id="rId1"/>
    <sheet name="report" sheetId="2" r:id="rId2"/>
    <sheet name="his-data" sheetId="3" r:id="rId3"/>
    <sheet name="p-s-index" sheetId="5" r:id="rId4"/>
    <sheet name="s-r-index" sheetId="9" r:id="rId5"/>
    <sheet name="data-new" sheetId="6" r:id="rId6"/>
    <sheet name="data-src" sheetId="7" r:id="rId7"/>
    <sheet name="conf" sheetId="10" r:id="rId8"/>
    <sheet name="tmp" sheetId="11" r:id="rId9"/>
  </sheets>
  <functionGroups builtInGroupCount="18"/>
  <definedNames>
    <definedName name="_xlnm._FilterDatabase" localSheetId="2" hidden="1">'his-data'!$A$1:$F$97</definedName>
    <definedName name="_xlnm._FilterDatabase" localSheetId="0" hidden="1">statistic!$A$1:$H$18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7" l="1"/>
  <c r="C4" i="7" l="1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3" i="7"/>
</calcChain>
</file>

<file path=xl/sharedStrings.xml><?xml version="1.0" encoding="utf-8"?>
<sst xmlns="http://schemas.openxmlformats.org/spreadsheetml/2006/main" count="574" uniqueCount="113">
  <si>
    <t>project</t>
    <phoneticPr fontId="1" type="noConversion"/>
  </si>
  <si>
    <t>critical</t>
    <phoneticPr fontId="1" type="noConversion"/>
  </si>
  <si>
    <t>high</t>
    <phoneticPr fontId="1" type="noConversion"/>
  </si>
  <si>
    <t>proj_01</t>
  </si>
  <si>
    <t>proj_01</t>
    <phoneticPr fontId="1" type="noConversion"/>
  </si>
  <si>
    <t>proj_02</t>
  </si>
  <si>
    <t>proj_02</t>
    <phoneticPr fontId="1" type="noConversion"/>
  </si>
  <si>
    <t>proj_03</t>
  </si>
  <si>
    <t>proj_04</t>
  </si>
  <si>
    <t>proj_05</t>
  </si>
  <si>
    <t>proj_06</t>
  </si>
  <si>
    <t>proj_07</t>
  </si>
  <si>
    <t>proj_08</t>
  </si>
  <si>
    <t>proj_09</t>
  </si>
  <si>
    <t>proj_10</t>
  </si>
  <si>
    <t>proj_11</t>
  </si>
  <si>
    <t>proj_12</t>
  </si>
  <si>
    <t>proj_13</t>
  </si>
  <si>
    <t>proj_14</t>
  </si>
  <si>
    <t>service_01</t>
  </si>
  <si>
    <t>service_01</t>
    <phoneticPr fontId="1" type="noConversion"/>
  </si>
  <si>
    <t>service_02</t>
  </si>
  <si>
    <t>service_03</t>
  </si>
  <si>
    <t>service_04</t>
  </si>
  <si>
    <t>service_05</t>
  </si>
  <si>
    <t>service_06</t>
  </si>
  <si>
    <t>service_07</t>
  </si>
  <si>
    <t>service</t>
  </si>
  <si>
    <t>service</t>
    <phoneticPr fontId="1" type="noConversion"/>
  </si>
  <si>
    <t>responsible person</t>
  </si>
  <si>
    <t>person_01</t>
  </si>
  <si>
    <t>person_02</t>
  </si>
  <si>
    <t>person_03</t>
  </si>
  <si>
    <t>data</t>
    <phoneticPr fontId="1" type="noConversion"/>
  </si>
  <si>
    <t>proj_new</t>
  </si>
  <si>
    <t>proj_new</t>
    <phoneticPr fontId="1" type="noConversion"/>
  </si>
  <si>
    <t>service_06/service_01</t>
  </si>
  <si>
    <t>service_06/service_01</t>
    <phoneticPr fontId="1" type="noConversion"/>
  </si>
  <si>
    <t>service_05/service_08</t>
  </si>
  <si>
    <t>person_03/person_01</t>
  </si>
  <si>
    <t>service_07</t>
    <phoneticPr fontId="1" type="noConversion"/>
  </si>
  <si>
    <t>service_04</t>
    <phoneticPr fontId="1" type="noConversion"/>
  </si>
  <si>
    <t>service_05/service_08</t>
    <phoneticPr fontId="1" type="noConversion"/>
  </si>
  <si>
    <t>service_08/service_07</t>
  </si>
  <si>
    <t>service_08/service_07</t>
    <phoneticPr fontId="1" type="noConversion"/>
  </si>
  <si>
    <t>?</t>
  </si>
  <si>
    <t>?/person_01</t>
  </si>
  <si>
    <t>person_03/?</t>
  </si>
  <si>
    <t>service_066</t>
    <phoneticPr fontId="1" type="noConversion"/>
  </si>
  <si>
    <t>critical</t>
  </si>
  <si>
    <t>high</t>
  </si>
  <si>
    <t>project</t>
  </si>
  <si>
    <t>Previous Critical</t>
  </si>
  <si>
    <t>Previous High</t>
  </si>
  <si>
    <t>Previous High</t>
    <phoneticPr fontId="1" type="noConversion"/>
  </si>
  <si>
    <t>Project</t>
  </si>
  <si>
    <t>Project</t>
    <phoneticPr fontId="1" type="noConversion"/>
  </si>
  <si>
    <t>Service</t>
  </si>
  <si>
    <t>Service</t>
    <phoneticPr fontId="1" type="noConversion"/>
  </si>
  <si>
    <t>Responsible Person</t>
  </si>
  <si>
    <t>Responsible Person</t>
    <phoneticPr fontId="1" type="noConversion"/>
  </si>
  <si>
    <t>Critical</t>
  </si>
  <si>
    <t>Critical</t>
    <phoneticPr fontId="1" type="noConversion"/>
  </si>
  <si>
    <t>High</t>
  </si>
  <si>
    <t>High</t>
    <phoneticPr fontId="1" type="noConversion"/>
  </si>
  <si>
    <t>Previous Critical</t>
    <phoneticPr fontId="1" type="noConversion"/>
  </si>
  <si>
    <t>Change</t>
  </si>
  <si>
    <t>Change</t>
    <phoneticPr fontId="1" type="noConversion"/>
  </si>
  <si>
    <t>Report</t>
    <phoneticPr fontId="1" type="noConversion"/>
  </si>
  <si>
    <t>Previous</t>
    <phoneticPr fontId="1" type="noConversion"/>
  </si>
  <si>
    <t>Previous</t>
    <phoneticPr fontId="1" type="noConversion"/>
  </si>
  <si>
    <t>data</t>
  </si>
  <si>
    <t>Date List</t>
  </si>
  <si>
    <t>Statistic</t>
    <phoneticPr fontId="1" type="noConversion"/>
  </si>
  <si>
    <t>Critical: +39  High: -26</t>
  </si>
  <si>
    <t>Critical: -93  High: -721</t>
  </si>
  <si>
    <t>Critical: +47  High: -133</t>
  </si>
  <si>
    <t>Critical: -322  High: -57</t>
  </si>
  <si>
    <t>Critical: +28  High: -648</t>
  </si>
  <si>
    <t>Critical: +50  High: +80</t>
  </si>
  <si>
    <t>Critical: -105  High: -76</t>
  </si>
  <si>
    <t>Date-time</t>
    <phoneticPr fontId="1" type="noConversion"/>
  </si>
  <si>
    <t>Critical: -23  High: -3</t>
  </si>
  <si>
    <t>Critical: +61  High: +34</t>
  </si>
  <si>
    <t>Critical: -15  High: +63</t>
  </si>
  <si>
    <t>Critical: +63  High: +26</t>
  </si>
  <si>
    <t>Critical: -12  High: -45</t>
  </si>
  <si>
    <t>Critical: +39  High: -12</t>
  </si>
  <si>
    <t>Critical: +17  High: +25</t>
  </si>
  <si>
    <t>Critical: +65  High: +45</t>
  </si>
  <si>
    <t>Critical: -21  High: +8</t>
  </si>
  <si>
    <t>Critical: +20  High: +84</t>
  </si>
  <si>
    <t>Critical: -48  High: +76</t>
  </si>
  <si>
    <t>Critical: -7  High: -28</t>
  </si>
  <si>
    <t>Critical: -7  High: -63</t>
  </si>
  <si>
    <t>Critical: +7  High: -15</t>
  </si>
  <si>
    <t>Critical: +5  High: +14</t>
  </si>
  <si>
    <t>Critical: -57  High: -2</t>
  </si>
  <si>
    <t>Critical: +9  High: +26</t>
  </si>
  <si>
    <t>Critical: -71  High: +20</t>
  </si>
  <si>
    <t>Critical: +14  High: +14</t>
  </si>
  <si>
    <t>Critical: +24  High: +1</t>
  </si>
  <si>
    <t>Critical: +9  High: -16</t>
  </si>
  <si>
    <t>Critical: +35  High: +93</t>
  </si>
  <si>
    <t>Critical: +47  High: -31</t>
  </si>
  <si>
    <t>Critical: +23  High: +31</t>
  </si>
  <si>
    <t>Critical: +16</t>
  </si>
  <si>
    <t>Critical: +17  High: +94</t>
  </si>
  <si>
    <t>Critical: +13  High: -21</t>
  </si>
  <si>
    <t>Critical: +62  High: -60</t>
  </si>
  <si>
    <t>Critical: +36  High: -29</t>
  </si>
  <si>
    <t>Critical: -57  High: +42</t>
  </si>
  <si>
    <t>H:\Excel\binReport.xlsx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</si>
</sst>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yy/m/d\ h:m:s"/>
    <numFmt numFmtId="177" formatCode="yyyy/mm/dd\ hh:mm:ss"/>
  </numFmts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2" fillId="0" borderId="0" xfId="0" applyFont="1">
      <alignment vertical="center"/>
    </xf>
    <xf numFmtId="177" fontId="3" fillId="0" borderId="0" xfId="0" applyNumberFormat="1" applyFont="1">
      <alignment vertical="center"/>
    </xf>
    <xf numFmtId="176" fontId="3" fillId="0" borderId="0" xfId="0" applyNumberFormat="1" applyFont="1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center" vertical="center"/>
    </xf>
    <xf numFmtId="177" fontId="0" fillId="2" borderId="0" xfId="0" applyNumberForma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14655</xdr:colOff>
      <xdr:row>0</xdr:row>
      <xdr:rowOff>0</xdr:rowOff>
    </xdr:from>
    <xdr:to>
      <xdr:col>9</xdr:col>
      <xdr:colOff>197828</xdr:colOff>
      <xdr:row>2</xdr:row>
      <xdr:rowOff>168519</xdr:rowOff>
    </xdr:to>
    <xdr:sp macro="[0]!sortHisData" textlink="">
      <xdr:nvSpPr>
        <xdr:cNvPr id="2" name="矩形: 圆角 1">
          <a:extLst>
            <a:ext uri="{FF2B5EF4-FFF2-40B4-BE49-F238E27FC236}">
              <a16:creationId xmlns:a16="http://schemas.microsoft.com/office/drawing/2014/main" id="{5EDCCB0E-8945-4673-BA5F-327266772650}"/>
            </a:ext>
          </a:extLst>
        </xdr:cNvPr>
        <xdr:cNvSpPr/>
      </xdr:nvSpPr>
      <xdr:spPr>
        <a:xfrm>
          <a:off x="7422174" y="0"/>
          <a:ext cx="871904" cy="5348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1</a:t>
          </a:r>
          <a:endParaRPr lang="zh-CN" altLang="en-US" sz="1100"/>
        </a:p>
      </xdr:txBody>
    </xdr:sp>
    <xdr:clientData/>
  </xdr:twoCellAnchor>
  <xdr:twoCellAnchor>
    <xdr:from>
      <xdr:col>8</xdr:col>
      <xdr:colOff>14655</xdr:colOff>
      <xdr:row>4</xdr:row>
      <xdr:rowOff>95250</xdr:rowOff>
    </xdr:from>
    <xdr:to>
      <xdr:col>9</xdr:col>
      <xdr:colOff>197828</xdr:colOff>
      <xdr:row>7</xdr:row>
      <xdr:rowOff>80595</xdr:rowOff>
    </xdr:to>
    <xdr:sp macro="[0]!sortHisData2" textlink="">
      <xdr:nvSpPr>
        <xdr:cNvPr id="3" name="矩形: 圆角 2">
          <a:extLst>
            <a:ext uri="{FF2B5EF4-FFF2-40B4-BE49-F238E27FC236}">
              <a16:creationId xmlns:a16="http://schemas.microsoft.com/office/drawing/2014/main" id="{44FD4049-FA46-425A-A783-3C7343FA1C59}"/>
            </a:ext>
          </a:extLst>
        </xdr:cNvPr>
        <xdr:cNvSpPr/>
      </xdr:nvSpPr>
      <xdr:spPr>
        <a:xfrm>
          <a:off x="7422174" y="827942"/>
          <a:ext cx="871904" cy="5348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2</a:t>
          </a:r>
          <a:endParaRPr lang="zh-CN" altLang="en-US" sz="1100"/>
        </a:p>
      </xdr:txBody>
    </xdr:sp>
    <xdr:clientData/>
  </xdr:twoCellAnchor>
  <xdr:twoCellAnchor>
    <xdr:from>
      <xdr:col>8</xdr:col>
      <xdr:colOff>14655</xdr:colOff>
      <xdr:row>9</xdr:row>
      <xdr:rowOff>7327</xdr:rowOff>
    </xdr:from>
    <xdr:to>
      <xdr:col>9</xdr:col>
      <xdr:colOff>197828</xdr:colOff>
      <xdr:row>11</xdr:row>
      <xdr:rowOff>175846</xdr:rowOff>
    </xdr:to>
    <xdr:sp macro="[0]!fillOutStatistic" textlink="">
      <xdr:nvSpPr>
        <xdr:cNvPr id="4" name="矩形: 圆角 3">
          <a:extLst>
            <a:ext uri="{FF2B5EF4-FFF2-40B4-BE49-F238E27FC236}">
              <a16:creationId xmlns:a16="http://schemas.microsoft.com/office/drawing/2014/main" id="{A9CF4DA5-716A-45BE-BB12-78980A5F3144}"/>
            </a:ext>
          </a:extLst>
        </xdr:cNvPr>
        <xdr:cNvSpPr/>
      </xdr:nvSpPr>
      <xdr:spPr>
        <a:xfrm>
          <a:off x="7422174" y="1655885"/>
          <a:ext cx="871904" cy="5348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fill</a:t>
          </a:r>
          <a:r>
            <a:rPr lang="en-US" altLang="zh-CN" sz="1100" baseline="0"/>
            <a:t> out data</a:t>
          </a:r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7326</xdr:colOff>
      <xdr:row>0</xdr:row>
      <xdr:rowOff>0</xdr:rowOff>
    </xdr:from>
    <xdr:to>
      <xdr:col>8</xdr:col>
      <xdr:colOff>190499</xdr:colOff>
      <xdr:row>3</xdr:row>
      <xdr:rowOff>7327</xdr:rowOff>
    </xdr:to>
    <xdr:sp macro="[0]!fillOutReport" textlink="">
      <xdr:nvSpPr>
        <xdr:cNvPr id="2" name="矩形: 圆角 1">
          <a:extLst>
            <a:ext uri="{FF2B5EF4-FFF2-40B4-BE49-F238E27FC236}">
              <a16:creationId xmlns:a16="http://schemas.microsoft.com/office/drawing/2014/main" id="{DA311B04-EC8B-41DD-ABE0-F02F9D345B7C}"/>
            </a:ext>
          </a:extLst>
        </xdr:cNvPr>
        <xdr:cNvSpPr/>
      </xdr:nvSpPr>
      <xdr:spPr>
        <a:xfrm>
          <a:off x="5927480" y="0"/>
          <a:ext cx="871904" cy="55684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fill out report</a:t>
          </a:r>
          <a:endParaRPr lang="zh-CN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670062</xdr:colOff>
      <xdr:row>0</xdr:row>
      <xdr:rowOff>0</xdr:rowOff>
    </xdr:from>
    <xdr:to>
      <xdr:col>6</xdr:col>
      <xdr:colOff>375149</xdr:colOff>
      <xdr:row>2</xdr:row>
      <xdr:rowOff>67565</xdr:rowOff>
    </xdr:to>
    <xdr:sp macro="[0]!getData" textlink="">
      <xdr:nvSpPr>
        <xdr:cNvPr id="2" name="矩形: 圆角 1">
          <a:extLst>
            <a:ext uri="{FF2B5EF4-FFF2-40B4-BE49-F238E27FC236}">
              <a16:creationId xmlns:a16="http://schemas.microsoft.com/office/drawing/2014/main" id="{728237FB-36EE-42F3-9503-F6BDF36A9BBA}"/>
            </a:ext>
          </a:extLst>
        </xdr:cNvPr>
        <xdr:cNvSpPr/>
      </xdr:nvSpPr>
      <xdr:spPr>
        <a:xfrm>
          <a:off x="3875432" y="0"/>
          <a:ext cx="1080000" cy="432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1. Get Data</a:t>
          </a:r>
          <a:endParaRPr lang="zh-CN" altLang="en-US" sz="1100"/>
        </a:p>
      </xdr:txBody>
    </xdr:sp>
    <xdr:clientData/>
  </xdr:twoCellAnchor>
  <xdr:twoCellAnchor>
    <xdr:from>
      <xdr:col>6</xdr:col>
      <xdr:colOff>427796</xdr:colOff>
      <xdr:row>0</xdr:row>
      <xdr:rowOff>0</xdr:rowOff>
    </xdr:from>
    <xdr:to>
      <xdr:col>8</xdr:col>
      <xdr:colOff>132883</xdr:colOff>
      <xdr:row>2</xdr:row>
      <xdr:rowOff>67565</xdr:rowOff>
    </xdr:to>
    <xdr:sp macro="[0]!saveData" textlink="">
      <xdr:nvSpPr>
        <xdr:cNvPr id="5" name="矩形: 圆角 4">
          <a:extLst>
            <a:ext uri="{FF2B5EF4-FFF2-40B4-BE49-F238E27FC236}">
              <a16:creationId xmlns:a16="http://schemas.microsoft.com/office/drawing/2014/main" id="{07935DCF-9E88-46CA-823B-DC81F0849AB3}"/>
            </a:ext>
          </a:extLst>
        </xdr:cNvPr>
        <xdr:cNvSpPr/>
      </xdr:nvSpPr>
      <xdr:spPr>
        <a:xfrm>
          <a:off x="5008079" y="0"/>
          <a:ext cx="1080000" cy="432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1. Save Data</a:t>
          </a:r>
          <a:endParaRPr lang="zh-CN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676275</xdr:colOff>
      <xdr:row>3</xdr:row>
      <xdr:rowOff>76200</xdr:rowOff>
    </xdr:from>
    <xdr:to>
      <xdr:col>8</xdr:col>
      <xdr:colOff>314325</xdr:colOff>
      <xdr:row>10</xdr:row>
      <xdr:rowOff>0</xdr:rowOff>
    </xdr:to>
    <xdr:sp macro="[0]!testSelFile" textlink="">
      <xdr:nvSpPr>
        <xdr:cNvPr id="2" name="矩形: 圆角 1">
          <a:extLst>
            <a:ext uri="{FF2B5EF4-FFF2-40B4-BE49-F238E27FC236}">
              <a16:creationId xmlns:a16="http://schemas.microsoft.com/office/drawing/2014/main" id="{FD52DAF7-4591-428F-B09B-1FB57B38AECB}"/>
            </a:ext>
          </a:extLst>
        </xdr:cNvPr>
        <xdr:cNvSpPr/>
      </xdr:nvSpPr>
      <xdr:spPr>
        <a:xfrm>
          <a:off x="4105275" y="619125"/>
          <a:ext cx="1695450" cy="1190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8"/>
  <sheetViews>
    <sheetView zoomScale="130" zoomScaleNormal="130" workbookViewId="0">
      <selection activeCell="H17" sqref="H17"/>
    </sheetView>
  </sheetViews>
  <sheetFormatPr defaultRowHeight="14.25" x14ac:dyDescent="0.2"/>
  <cols>
    <col min="1" max="1" width="15.375" bestFit="1" customWidth="1"/>
    <col min="2" max="2" width="16.875" bestFit="1" customWidth="1"/>
    <col min="3" max="3" width="17.625" bestFit="1" customWidth="1"/>
    <col min="4" max="4" width="6.625" bestFit="1" customWidth="1"/>
    <col min="5" max="5" width="5" bestFit="1" customWidth="1"/>
    <col min="6" max="6" width="14.375" bestFit="1" customWidth="1"/>
    <col min="7" max="7" width="12.625" bestFit="1" customWidth="1"/>
    <col min="8" max="8" width="20.375" bestFit="1" customWidth="1"/>
  </cols>
  <sheetData>
    <row r="1" spans="1:8" x14ac:dyDescent="0.2">
      <c r="A1" s="3" t="s">
        <v>73</v>
      </c>
      <c r="B1" s="5">
        <v>42898.01761574074</v>
      </c>
    </row>
    <row r="2" spans="1:8" x14ac:dyDescent="0.2">
      <c r="A2" t="s">
        <v>70</v>
      </c>
      <c r="B2" s="1">
        <v>42898.01761574074</v>
      </c>
    </row>
    <row r="3" spans="1:8" x14ac:dyDescent="0.2">
      <c r="A3" s="6" t="s">
        <v>55</v>
      </c>
      <c r="B3" s="6" t="s">
        <v>57</v>
      </c>
      <c r="C3" s="6" t="s">
        <v>59</v>
      </c>
      <c r="D3" s="6" t="s">
        <v>61</v>
      </c>
      <c r="E3" s="6" t="s">
        <v>63</v>
      </c>
      <c r="F3" s="6" t="s">
        <v>65</v>
      </c>
      <c r="G3" s="6" t="s">
        <v>54</v>
      </c>
      <c r="H3" s="6" t="s">
        <v>67</v>
      </c>
    </row>
    <row r="4" spans="1:8" x14ac:dyDescent="0.2">
      <c r="A4" t="s">
        <v>3</v>
      </c>
      <c r="B4" t="s">
        <v>19</v>
      </c>
      <c r="C4" t="s">
        <v>30</v>
      </c>
      <c r="D4">
        <v>99</v>
      </c>
      <c r="E4">
        <v>78</v>
      </c>
      <c r="F4">
        <v>99</v>
      </c>
      <c r="G4">
        <v>78</v>
      </c>
    </row>
    <row r="5" spans="1:8" x14ac:dyDescent="0.2">
      <c r="A5" t="s">
        <v>5</v>
      </c>
      <c r="B5" t="s">
        <v>21</v>
      </c>
      <c r="C5" t="s">
        <v>31</v>
      </c>
      <c r="D5">
        <v>19</v>
      </c>
      <c r="E5">
        <v>63</v>
      </c>
      <c r="F5">
        <v>19</v>
      </c>
      <c r="G5">
        <v>63</v>
      </c>
    </row>
    <row r="6" spans="1:8" x14ac:dyDescent="0.2">
      <c r="A6" t="s">
        <v>7</v>
      </c>
      <c r="B6" t="s">
        <v>22</v>
      </c>
      <c r="C6" t="s">
        <v>30</v>
      </c>
      <c r="D6">
        <v>94</v>
      </c>
      <c r="E6">
        <v>34</v>
      </c>
      <c r="F6">
        <v>94</v>
      </c>
      <c r="G6">
        <v>34</v>
      </c>
    </row>
    <row r="7" spans="1:8" x14ac:dyDescent="0.2">
      <c r="A7" t="s">
        <v>8</v>
      </c>
      <c r="B7" t="s">
        <v>23</v>
      </c>
      <c r="C7" t="s">
        <v>31</v>
      </c>
      <c r="D7">
        <v>13</v>
      </c>
      <c r="E7">
        <v>26</v>
      </c>
      <c r="F7">
        <v>13</v>
      </c>
      <c r="G7">
        <v>26</v>
      </c>
    </row>
    <row r="8" spans="1:8" x14ac:dyDescent="0.2">
      <c r="A8" t="s">
        <v>9</v>
      </c>
      <c r="B8" t="s">
        <v>45</v>
      </c>
      <c r="C8" t="s">
        <v>45</v>
      </c>
      <c r="D8">
        <v>43</v>
      </c>
      <c r="E8">
        <v>81</v>
      </c>
      <c r="F8">
        <v>43</v>
      </c>
      <c r="G8">
        <v>81</v>
      </c>
    </row>
    <row r="9" spans="1:8" x14ac:dyDescent="0.2">
      <c r="A9" t="s">
        <v>10</v>
      </c>
      <c r="B9" t="s">
        <v>21</v>
      </c>
      <c r="C9" t="s">
        <v>31</v>
      </c>
      <c r="D9">
        <v>29</v>
      </c>
      <c r="E9">
        <v>35</v>
      </c>
      <c r="F9">
        <v>29</v>
      </c>
      <c r="G9">
        <v>35</v>
      </c>
    </row>
    <row r="10" spans="1:8" x14ac:dyDescent="0.2">
      <c r="A10" t="s">
        <v>11</v>
      </c>
      <c r="B10" t="s">
        <v>22</v>
      </c>
      <c r="C10" t="s">
        <v>30</v>
      </c>
      <c r="D10">
        <v>10</v>
      </c>
      <c r="E10">
        <v>4</v>
      </c>
      <c r="F10">
        <v>10</v>
      </c>
      <c r="G10">
        <v>4</v>
      </c>
    </row>
    <row r="11" spans="1:8" x14ac:dyDescent="0.2">
      <c r="A11" t="s">
        <v>12</v>
      </c>
      <c r="B11" t="s">
        <v>26</v>
      </c>
      <c r="C11" t="s">
        <v>30</v>
      </c>
      <c r="D11">
        <v>3</v>
      </c>
      <c r="E11">
        <v>42</v>
      </c>
      <c r="F11">
        <v>3</v>
      </c>
      <c r="G11">
        <v>42</v>
      </c>
    </row>
    <row r="12" spans="1:8" x14ac:dyDescent="0.2">
      <c r="A12" t="s">
        <v>13</v>
      </c>
      <c r="B12" t="s">
        <v>24</v>
      </c>
      <c r="C12" t="s">
        <v>32</v>
      </c>
      <c r="D12">
        <v>48</v>
      </c>
      <c r="E12">
        <v>64</v>
      </c>
      <c r="F12">
        <v>48</v>
      </c>
      <c r="G12">
        <v>64</v>
      </c>
    </row>
    <row r="13" spans="1:8" x14ac:dyDescent="0.2">
      <c r="A13" t="s">
        <v>14</v>
      </c>
      <c r="B13" t="s">
        <v>36</v>
      </c>
      <c r="C13" t="s">
        <v>39</v>
      </c>
      <c r="D13">
        <v>71</v>
      </c>
      <c r="E13">
        <v>12</v>
      </c>
      <c r="F13">
        <v>71</v>
      </c>
      <c r="G13">
        <v>12</v>
      </c>
    </row>
    <row r="14" spans="1:8" x14ac:dyDescent="0.2">
      <c r="A14" t="s">
        <v>15</v>
      </c>
      <c r="B14" t="s">
        <v>23</v>
      </c>
      <c r="C14" t="s">
        <v>31</v>
      </c>
      <c r="D14">
        <v>60</v>
      </c>
      <c r="E14">
        <v>5</v>
      </c>
      <c r="F14">
        <v>60</v>
      </c>
      <c r="G14">
        <v>5</v>
      </c>
    </row>
    <row r="15" spans="1:8" x14ac:dyDescent="0.2">
      <c r="A15" t="s">
        <v>16</v>
      </c>
      <c r="B15" t="s">
        <v>38</v>
      </c>
      <c r="C15" t="s">
        <v>47</v>
      </c>
      <c r="D15">
        <v>64</v>
      </c>
      <c r="E15">
        <v>49</v>
      </c>
      <c r="F15">
        <v>64</v>
      </c>
      <c r="G15">
        <v>49</v>
      </c>
    </row>
    <row r="16" spans="1:8" x14ac:dyDescent="0.2">
      <c r="A16" t="s">
        <v>17</v>
      </c>
      <c r="B16" t="s">
        <v>25</v>
      </c>
      <c r="C16" t="s">
        <v>32</v>
      </c>
      <c r="D16">
        <v>14</v>
      </c>
      <c r="E16">
        <v>92</v>
      </c>
      <c r="F16">
        <v>14</v>
      </c>
      <c r="G16">
        <v>92</v>
      </c>
    </row>
    <row r="17" spans="1:8" x14ac:dyDescent="0.2">
      <c r="A17" t="s">
        <v>18</v>
      </c>
      <c r="B17" t="s">
        <v>43</v>
      </c>
      <c r="C17" t="s">
        <v>46</v>
      </c>
      <c r="D17">
        <v>7</v>
      </c>
      <c r="E17">
        <v>35</v>
      </c>
      <c r="F17">
        <v>7</v>
      </c>
      <c r="G17">
        <v>35</v>
      </c>
    </row>
    <row r="18" spans="1:8" x14ac:dyDescent="0.2">
      <c r="A18" t="s">
        <v>34</v>
      </c>
      <c r="B18" t="s">
        <v>45</v>
      </c>
      <c r="C18" t="s">
        <v>45</v>
      </c>
      <c r="D18">
        <v>80</v>
      </c>
      <c r="E18">
        <v>53</v>
      </c>
      <c r="F18">
        <v>80</v>
      </c>
      <c r="G18">
        <v>53</v>
      </c>
    </row>
    <row r="19" spans="1:8" x14ac:dyDescent="0.2">
      <c r="A19" t="s">
        <v>3</v>
      </c>
      <c r="B19" t="s">
        <v>19</v>
      </c>
      <c r="C19" t="s">
        <v>30</v>
      </c>
      <c r="D19">
        <v>76</v>
      </c>
      <c r="E19">
        <v>75</v>
      </c>
      <c r="F19">
        <v>99</v>
      </c>
      <c r="G19">
        <v>78</v>
      </c>
      <c r="H19" t="s">
        <v>82</v>
      </c>
    </row>
    <row r="20" spans="1:8" x14ac:dyDescent="0.2">
      <c r="A20" t="s">
        <v>5</v>
      </c>
      <c r="B20" t="s">
        <v>21</v>
      </c>
      <c r="C20" t="s">
        <v>31</v>
      </c>
      <c r="D20">
        <v>80</v>
      </c>
      <c r="E20">
        <v>97</v>
      </c>
      <c r="F20">
        <v>19</v>
      </c>
      <c r="G20">
        <v>63</v>
      </c>
      <c r="H20" t="s">
        <v>83</v>
      </c>
    </row>
    <row r="21" spans="1:8" x14ac:dyDescent="0.2">
      <c r="A21" t="s">
        <v>7</v>
      </c>
      <c r="B21" t="s">
        <v>22</v>
      </c>
      <c r="C21" t="s">
        <v>30</v>
      </c>
      <c r="D21">
        <v>79</v>
      </c>
      <c r="E21">
        <v>97</v>
      </c>
      <c r="F21">
        <v>94</v>
      </c>
      <c r="G21">
        <v>34</v>
      </c>
      <c r="H21" t="s">
        <v>84</v>
      </c>
    </row>
    <row r="22" spans="1:8" x14ac:dyDescent="0.2">
      <c r="A22" t="s">
        <v>8</v>
      </c>
      <c r="B22" t="s">
        <v>23</v>
      </c>
      <c r="C22" t="s">
        <v>31</v>
      </c>
      <c r="D22">
        <v>76</v>
      </c>
      <c r="E22">
        <v>52</v>
      </c>
      <c r="F22">
        <v>13</v>
      </c>
      <c r="G22">
        <v>26</v>
      </c>
      <c r="H22" t="s">
        <v>85</v>
      </c>
    </row>
    <row r="23" spans="1:8" x14ac:dyDescent="0.2">
      <c r="A23" t="s">
        <v>9</v>
      </c>
      <c r="B23" t="s">
        <v>45</v>
      </c>
      <c r="C23" t="s">
        <v>45</v>
      </c>
      <c r="D23">
        <v>31</v>
      </c>
      <c r="E23">
        <v>36</v>
      </c>
      <c r="F23">
        <v>43</v>
      </c>
      <c r="G23">
        <v>81</v>
      </c>
      <c r="H23" t="s">
        <v>86</v>
      </c>
    </row>
    <row r="24" spans="1:8" x14ac:dyDescent="0.2">
      <c r="A24" t="s">
        <v>10</v>
      </c>
      <c r="B24" t="s">
        <v>21</v>
      </c>
      <c r="C24" t="s">
        <v>31</v>
      </c>
      <c r="D24">
        <v>68</v>
      </c>
      <c r="E24">
        <v>23</v>
      </c>
      <c r="F24">
        <v>29</v>
      </c>
      <c r="G24">
        <v>35</v>
      </c>
      <c r="H24" t="s">
        <v>87</v>
      </c>
    </row>
    <row r="25" spans="1:8" x14ac:dyDescent="0.2">
      <c r="A25" t="s">
        <v>11</v>
      </c>
      <c r="B25" t="s">
        <v>22</v>
      </c>
      <c r="C25" t="s">
        <v>30</v>
      </c>
      <c r="D25">
        <v>27</v>
      </c>
      <c r="E25">
        <v>29</v>
      </c>
      <c r="F25">
        <v>10</v>
      </c>
      <c r="G25">
        <v>4</v>
      </c>
      <c r="H25" t="s">
        <v>88</v>
      </c>
    </row>
    <row r="26" spans="1:8" x14ac:dyDescent="0.2">
      <c r="A26" t="s">
        <v>12</v>
      </c>
      <c r="B26" t="s">
        <v>26</v>
      </c>
      <c r="C26" t="s">
        <v>30</v>
      </c>
      <c r="D26">
        <v>68</v>
      </c>
      <c r="E26">
        <v>87</v>
      </c>
      <c r="F26">
        <v>3</v>
      </c>
      <c r="G26">
        <v>42</v>
      </c>
      <c r="H26" t="s">
        <v>89</v>
      </c>
    </row>
    <row r="27" spans="1:8" x14ac:dyDescent="0.2">
      <c r="A27" t="s">
        <v>13</v>
      </c>
      <c r="B27" t="s">
        <v>24</v>
      </c>
      <c r="C27" t="s">
        <v>32</v>
      </c>
      <c r="D27">
        <v>27</v>
      </c>
      <c r="E27">
        <v>72</v>
      </c>
      <c r="F27">
        <v>48</v>
      </c>
      <c r="G27">
        <v>64</v>
      </c>
      <c r="H27" t="s">
        <v>90</v>
      </c>
    </row>
    <row r="28" spans="1:8" x14ac:dyDescent="0.2">
      <c r="A28" t="s">
        <v>14</v>
      </c>
      <c r="B28" t="s">
        <v>36</v>
      </c>
      <c r="C28" t="s">
        <v>39</v>
      </c>
      <c r="D28">
        <v>91</v>
      </c>
      <c r="E28">
        <v>96</v>
      </c>
      <c r="F28">
        <v>71</v>
      </c>
      <c r="G28">
        <v>12</v>
      </c>
      <c r="H28" t="s">
        <v>91</v>
      </c>
    </row>
    <row r="29" spans="1:8" x14ac:dyDescent="0.2">
      <c r="A29" t="s">
        <v>15</v>
      </c>
      <c r="B29" t="s">
        <v>23</v>
      </c>
      <c r="C29" t="s">
        <v>31</v>
      </c>
      <c r="D29">
        <v>12</v>
      </c>
      <c r="E29">
        <v>81</v>
      </c>
      <c r="F29">
        <v>60</v>
      </c>
      <c r="G29">
        <v>5</v>
      </c>
      <c r="H29" t="s">
        <v>92</v>
      </c>
    </row>
    <row r="30" spans="1:8" x14ac:dyDescent="0.2">
      <c r="A30" t="s">
        <v>16</v>
      </c>
      <c r="B30" t="s">
        <v>38</v>
      </c>
      <c r="C30" t="s">
        <v>47</v>
      </c>
      <c r="D30">
        <v>57</v>
      </c>
      <c r="E30">
        <v>21</v>
      </c>
      <c r="F30">
        <v>64</v>
      </c>
      <c r="G30">
        <v>49</v>
      </c>
      <c r="H30" t="s">
        <v>93</v>
      </c>
    </row>
    <row r="31" spans="1:8" x14ac:dyDescent="0.2">
      <c r="A31" t="s">
        <v>17</v>
      </c>
      <c r="B31" t="s">
        <v>25</v>
      </c>
      <c r="C31" t="s">
        <v>32</v>
      </c>
      <c r="D31">
        <v>7</v>
      </c>
      <c r="E31">
        <v>29</v>
      </c>
      <c r="F31">
        <v>14</v>
      </c>
      <c r="G31">
        <v>92</v>
      </c>
      <c r="H31" t="s">
        <v>94</v>
      </c>
    </row>
    <row r="32" spans="1:8" x14ac:dyDescent="0.2">
      <c r="A32" t="s">
        <v>18</v>
      </c>
      <c r="B32" t="s">
        <v>43</v>
      </c>
      <c r="C32" t="s">
        <v>46</v>
      </c>
      <c r="D32">
        <v>14</v>
      </c>
      <c r="E32">
        <v>20</v>
      </c>
      <c r="F32">
        <v>7</v>
      </c>
      <c r="G32">
        <v>35</v>
      </c>
      <c r="H32" t="s">
        <v>95</v>
      </c>
    </row>
    <row r="33" spans="1:8" x14ac:dyDescent="0.2">
      <c r="A33" t="s">
        <v>34</v>
      </c>
      <c r="B33" t="s">
        <v>45</v>
      </c>
      <c r="C33" t="s">
        <v>45</v>
      </c>
      <c r="D33">
        <v>85</v>
      </c>
      <c r="E33">
        <v>67</v>
      </c>
      <c r="F33">
        <v>80</v>
      </c>
      <c r="G33">
        <v>53</v>
      </c>
      <c r="H33" t="s">
        <v>96</v>
      </c>
    </row>
    <row r="34" spans="1:8" x14ac:dyDescent="0.2">
      <c r="A34" t="s">
        <v>3</v>
      </c>
      <c r="B34" t="s">
        <v>19</v>
      </c>
      <c r="C34" t="s">
        <v>30</v>
      </c>
      <c r="D34">
        <v>42</v>
      </c>
      <c r="E34">
        <v>76</v>
      </c>
      <c r="F34">
        <v>99</v>
      </c>
      <c r="G34">
        <v>78</v>
      </c>
      <c r="H34" t="s">
        <v>97</v>
      </c>
    </row>
    <row r="35" spans="1:8" x14ac:dyDescent="0.2">
      <c r="A35" t="s">
        <v>5</v>
      </c>
      <c r="B35" t="s">
        <v>21</v>
      </c>
      <c r="C35" t="s">
        <v>31</v>
      </c>
      <c r="D35">
        <v>28</v>
      </c>
      <c r="E35">
        <v>89</v>
      </c>
      <c r="F35">
        <v>19</v>
      </c>
      <c r="G35">
        <v>63</v>
      </c>
      <c r="H35" t="s">
        <v>98</v>
      </c>
    </row>
    <row r="36" spans="1:8" x14ac:dyDescent="0.2">
      <c r="A36" t="s">
        <v>7</v>
      </c>
      <c r="B36" t="s">
        <v>22</v>
      </c>
      <c r="C36" t="s">
        <v>30</v>
      </c>
      <c r="D36">
        <v>23</v>
      </c>
      <c r="E36">
        <v>54</v>
      </c>
      <c r="F36">
        <v>94</v>
      </c>
      <c r="G36">
        <v>34</v>
      </c>
      <c r="H36" t="s">
        <v>99</v>
      </c>
    </row>
    <row r="37" spans="1:8" x14ac:dyDescent="0.2">
      <c r="A37" t="s">
        <v>8</v>
      </c>
      <c r="B37" t="s">
        <v>23</v>
      </c>
      <c r="C37" t="s">
        <v>31</v>
      </c>
      <c r="D37">
        <v>27</v>
      </c>
      <c r="E37">
        <v>40</v>
      </c>
      <c r="F37">
        <v>13</v>
      </c>
      <c r="G37">
        <v>26</v>
      </c>
      <c r="H37" t="s">
        <v>100</v>
      </c>
    </row>
    <row r="38" spans="1:8" x14ac:dyDescent="0.2">
      <c r="A38" t="s">
        <v>9</v>
      </c>
      <c r="B38" t="s">
        <v>45</v>
      </c>
      <c r="C38" t="s">
        <v>45</v>
      </c>
      <c r="D38">
        <v>67</v>
      </c>
      <c r="E38">
        <v>82</v>
      </c>
      <c r="F38">
        <v>43</v>
      </c>
      <c r="G38">
        <v>81</v>
      </c>
      <c r="H38" t="s">
        <v>101</v>
      </c>
    </row>
    <row r="39" spans="1:8" x14ac:dyDescent="0.2">
      <c r="A39" t="s">
        <v>10</v>
      </c>
      <c r="B39" t="s">
        <v>21</v>
      </c>
      <c r="C39" t="s">
        <v>31</v>
      </c>
      <c r="D39">
        <v>38</v>
      </c>
      <c r="E39">
        <v>19</v>
      </c>
      <c r="F39">
        <v>29</v>
      </c>
      <c r="G39">
        <v>35</v>
      </c>
      <c r="H39" t="s">
        <v>102</v>
      </c>
    </row>
    <row r="40" spans="1:8" x14ac:dyDescent="0.2">
      <c r="A40" t="s">
        <v>11</v>
      </c>
      <c r="B40" t="s">
        <v>22</v>
      </c>
      <c r="C40" t="s">
        <v>30</v>
      </c>
      <c r="D40">
        <v>45</v>
      </c>
      <c r="E40">
        <v>97</v>
      </c>
      <c r="F40">
        <v>10</v>
      </c>
      <c r="G40">
        <v>4</v>
      </c>
      <c r="H40" t="s">
        <v>103</v>
      </c>
    </row>
    <row r="41" spans="1:8" x14ac:dyDescent="0.2">
      <c r="A41" t="s">
        <v>12</v>
      </c>
      <c r="B41" t="s">
        <v>26</v>
      </c>
      <c r="C41" t="s">
        <v>30</v>
      </c>
      <c r="D41">
        <v>50</v>
      </c>
      <c r="E41">
        <v>11</v>
      </c>
      <c r="F41">
        <v>3</v>
      </c>
      <c r="G41">
        <v>42</v>
      </c>
      <c r="H41" t="s">
        <v>104</v>
      </c>
    </row>
    <row r="42" spans="1:8" x14ac:dyDescent="0.2">
      <c r="A42" t="s">
        <v>13</v>
      </c>
      <c r="B42" t="s">
        <v>24</v>
      </c>
      <c r="C42" t="s">
        <v>32</v>
      </c>
      <c r="D42">
        <v>71</v>
      </c>
      <c r="E42">
        <v>95</v>
      </c>
      <c r="F42">
        <v>48</v>
      </c>
      <c r="G42">
        <v>64</v>
      </c>
      <c r="H42" t="s">
        <v>105</v>
      </c>
    </row>
    <row r="43" spans="1:8" x14ac:dyDescent="0.2">
      <c r="A43" t="s">
        <v>14</v>
      </c>
      <c r="B43" t="s">
        <v>36</v>
      </c>
      <c r="C43" t="s">
        <v>39</v>
      </c>
      <c r="D43">
        <v>87</v>
      </c>
      <c r="E43">
        <v>12</v>
      </c>
      <c r="F43">
        <v>71</v>
      </c>
      <c r="G43">
        <v>12</v>
      </c>
      <c r="H43" t="s">
        <v>106</v>
      </c>
    </row>
    <row r="44" spans="1:8" x14ac:dyDescent="0.2">
      <c r="A44" t="s">
        <v>15</v>
      </c>
      <c r="B44" t="s">
        <v>23</v>
      </c>
      <c r="C44" t="s">
        <v>31</v>
      </c>
      <c r="D44">
        <v>77</v>
      </c>
      <c r="E44">
        <v>99</v>
      </c>
      <c r="F44">
        <v>60</v>
      </c>
      <c r="G44">
        <v>5</v>
      </c>
      <c r="H44" t="s">
        <v>107</v>
      </c>
    </row>
    <row r="45" spans="1:8" x14ac:dyDescent="0.2">
      <c r="A45" t="s">
        <v>16</v>
      </c>
      <c r="B45" t="s">
        <v>38</v>
      </c>
      <c r="C45" t="s">
        <v>47</v>
      </c>
      <c r="D45">
        <v>77</v>
      </c>
      <c r="E45">
        <v>28</v>
      </c>
      <c r="F45">
        <v>64</v>
      </c>
      <c r="G45">
        <v>49</v>
      </c>
      <c r="H45" t="s">
        <v>108</v>
      </c>
    </row>
    <row r="46" spans="1:8" x14ac:dyDescent="0.2">
      <c r="A46" t="s">
        <v>17</v>
      </c>
      <c r="B46" t="s">
        <v>25</v>
      </c>
      <c r="C46" t="s">
        <v>32</v>
      </c>
      <c r="D46">
        <v>76</v>
      </c>
      <c r="E46">
        <v>32</v>
      </c>
      <c r="F46">
        <v>14</v>
      </c>
      <c r="G46">
        <v>92</v>
      </c>
      <c r="H46" t="s">
        <v>109</v>
      </c>
    </row>
    <row r="47" spans="1:8" x14ac:dyDescent="0.2">
      <c r="A47" t="s">
        <v>18</v>
      </c>
      <c r="B47" t="s">
        <v>43</v>
      </c>
      <c r="C47" t="s">
        <v>46</v>
      </c>
      <c r="D47">
        <v>43</v>
      </c>
      <c r="E47">
        <v>6</v>
      </c>
      <c r="F47">
        <v>7</v>
      </c>
      <c r="G47">
        <v>35</v>
      </c>
      <c r="H47" t="s">
        <v>110</v>
      </c>
    </row>
    <row r="48" spans="1:8" x14ac:dyDescent="0.2">
      <c r="A48" t="s">
        <v>34</v>
      </c>
      <c r="B48" t="s">
        <v>45</v>
      </c>
      <c r="C48" t="s">
        <v>45</v>
      </c>
      <c r="D48">
        <v>23</v>
      </c>
      <c r="E48">
        <v>95</v>
      </c>
      <c r="F48">
        <v>80</v>
      </c>
      <c r="G48">
        <v>53</v>
      </c>
      <c r="H48" t="s">
        <v>111</v>
      </c>
    </row>
  </sheetData>
  <phoneticPr fontId="1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conf!$A$2:$A$7</xm:f>
          </x14:formula1>
          <xm:sqref>B1:B2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"/>
  <sheetViews>
    <sheetView zoomScale="130" zoomScaleNormal="130" workbookViewId="0">
      <selection activeCell="B18" sqref="B18"/>
    </sheetView>
  </sheetViews>
  <sheetFormatPr defaultRowHeight="14.25" x14ac:dyDescent="0.2"/>
  <cols>
    <col min="1" max="1" width="14.375" bestFit="1" customWidth="1"/>
    <col min="2" max="2" width="19.125" bestFit="1" customWidth="1"/>
    <col min="3" max="3" width="6.625" bestFit="1" customWidth="1"/>
    <col min="4" max="4" width="5" bestFit="1" customWidth="1"/>
    <col min="5" max="5" width="14.375" bestFit="1" customWidth="1"/>
    <col min="6" max="6" width="12.625" bestFit="1" customWidth="1"/>
    <col min="7" max="7" width="22.875" bestFit="1" customWidth="1"/>
  </cols>
  <sheetData>
    <row r="1" spans="1:7" x14ac:dyDescent="0.2">
      <c r="A1" s="3" t="s">
        <v>68</v>
      </c>
      <c r="B1" s="4">
        <v>42898.01761574074</v>
      </c>
    </row>
    <row r="2" spans="1:7" x14ac:dyDescent="0.2">
      <c r="A2" t="s">
        <v>69</v>
      </c>
      <c r="B2" s="2">
        <v>42895.930902777778</v>
      </c>
    </row>
    <row r="3" spans="1:7" x14ac:dyDescent="0.2">
      <c r="A3" s="6" t="s">
        <v>27</v>
      </c>
      <c r="B3" s="6" t="s">
        <v>29</v>
      </c>
      <c r="C3" s="7" t="s">
        <v>61</v>
      </c>
      <c r="D3" s="7" t="s">
        <v>63</v>
      </c>
      <c r="E3" s="7" t="s">
        <v>52</v>
      </c>
      <c r="F3" s="7" t="s">
        <v>53</v>
      </c>
      <c r="G3" s="7" t="s">
        <v>66</v>
      </c>
    </row>
    <row r="4" spans="1:7" x14ac:dyDescent="0.2">
      <c r="A4" t="s">
        <v>19</v>
      </c>
      <c r="B4" t="s">
        <v>30</v>
      </c>
      <c r="C4">
        <v>170</v>
      </c>
      <c r="D4">
        <v>90</v>
      </c>
      <c r="E4">
        <v>131</v>
      </c>
      <c r="F4">
        <v>116</v>
      </c>
      <c r="G4" t="s">
        <v>74</v>
      </c>
    </row>
    <row r="5" spans="1:7" x14ac:dyDescent="0.2">
      <c r="A5" t="s">
        <v>21</v>
      </c>
      <c r="B5" t="s">
        <v>31</v>
      </c>
      <c r="C5">
        <v>48</v>
      </c>
      <c r="D5">
        <v>98</v>
      </c>
      <c r="E5">
        <v>141</v>
      </c>
      <c r="F5">
        <v>819</v>
      </c>
      <c r="G5" t="s">
        <v>75</v>
      </c>
    </row>
    <row r="6" spans="1:7" x14ac:dyDescent="0.2">
      <c r="A6" t="s">
        <v>22</v>
      </c>
      <c r="B6" t="s">
        <v>30</v>
      </c>
      <c r="C6">
        <v>104</v>
      </c>
      <c r="D6">
        <v>38</v>
      </c>
      <c r="E6">
        <v>57</v>
      </c>
      <c r="F6">
        <v>171</v>
      </c>
      <c r="G6" t="s">
        <v>76</v>
      </c>
    </row>
    <row r="7" spans="1:7" x14ac:dyDescent="0.2">
      <c r="A7" t="s">
        <v>23</v>
      </c>
      <c r="B7" t="s">
        <v>31</v>
      </c>
      <c r="C7">
        <v>73</v>
      </c>
      <c r="D7">
        <v>31</v>
      </c>
      <c r="E7">
        <v>395</v>
      </c>
      <c r="F7">
        <v>88</v>
      </c>
      <c r="G7" t="s">
        <v>77</v>
      </c>
    </row>
    <row r="8" spans="1:7" x14ac:dyDescent="0.2">
      <c r="A8" t="s">
        <v>24</v>
      </c>
      <c r="B8" t="s">
        <v>32</v>
      </c>
      <c r="C8">
        <v>112</v>
      </c>
      <c r="D8">
        <v>113</v>
      </c>
      <c r="E8">
        <v>84</v>
      </c>
      <c r="F8">
        <v>761</v>
      </c>
      <c r="G8" t="s">
        <v>78</v>
      </c>
    </row>
    <row r="9" spans="1:7" x14ac:dyDescent="0.2">
      <c r="A9" t="s">
        <v>25</v>
      </c>
      <c r="B9" t="s">
        <v>32</v>
      </c>
      <c r="C9">
        <v>85</v>
      </c>
      <c r="D9">
        <v>104</v>
      </c>
      <c r="E9">
        <v>35</v>
      </c>
      <c r="F9">
        <v>24</v>
      </c>
      <c r="G9" t="s">
        <v>79</v>
      </c>
    </row>
    <row r="10" spans="1:7" x14ac:dyDescent="0.2">
      <c r="A10" t="s">
        <v>26</v>
      </c>
      <c r="B10" t="s">
        <v>30</v>
      </c>
      <c r="C10">
        <v>10</v>
      </c>
      <c r="D10">
        <v>77</v>
      </c>
      <c r="E10">
        <v>115</v>
      </c>
      <c r="F10">
        <v>153</v>
      </c>
      <c r="G10" t="s">
        <v>80</v>
      </c>
    </row>
  </sheetData>
  <phoneticPr fontId="1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conf!$A$2:$A$4</xm:f>
          </x14:formula1>
          <xm:sqref>B3:B4</xm:sqref>
        </x14:dataValidation>
        <x14:dataValidation type="list" allowBlank="1" showInputMessage="1" showErrorMessage="1">
          <x14:formula1>
            <xm:f>conf!$A$2:$A$7</xm:f>
          </x14:formula1>
          <xm:sqref>B1:B2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97"/>
  <sheetViews>
    <sheetView zoomScale="115" zoomScaleNormal="115" workbookViewId="0">
      <selection activeCell="G2" sqref="G2"/>
    </sheetView>
  </sheetViews>
  <sheetFormatPr defaultRowHeight="14.25" x14ac:dyDescent="0.2"/>
  <cols>
    <col min="1" max="1" width="19.125" style="2" bestFit="1" customWidth="1"/>
    <col min="2" max="2" width="8.875" bestFit="1" customWidth="1"/>
    <col min="3" max="3" width="19.75" bestFit="1" customWidth="1"/>
    <col min="4" max="4" width="20" bestFit="1" customWidth="1"/>
    <col min="5" max="5" width="7.125" bestFit="1" customWidth="1"/>
    <col min="6" max="6" width="5.375" bestFit="1" customWidth="1"/>
  </cols>
  <sheetData>
    <row r="1" spans="1:6" x14ac:dyDescent="0.2">
      <c r="A1" s="8" t="s">
        <v>81</v>
      </c>
      <c r="B1" s="7" t="s">
        <v>56</v>
      </c>
      <c r="C1" s="7" t="s">
        <v>58</v>
      </c>
      <c r="D1" s="7" t="s">
        <v>60</v>
      </c>
      <c r="E1" s="7" t="s">
        <v>62</v>
      </c>
      <c r="F1" s="7" t="s">
        <v>64</v>
      </c>
    </row>
    <row r="2" spans="1:6" x14ac:dyDescent="0.2">
      <c r="A2" s="2">
        <v>42895.852662037039</v>
      </c>
      <c r="B2" t="s">
        <v>3</v>
      </c>
      <c r="C2" t="s">
        <v>19</v>
      </c>
      <c r="D2" t="s">
        <v>30</v>
      </c>
      <c r="E2">
        <v>51</v>
      </c>
      <c r="F2">
        <v>19</v>
      </c>
    </row>
    <row r="3" spans="1:6" x14ac:dyDescent="0.2">
      <c r="A3" s="2">
        <v>42895.852662037039</v>
      </c>
      <c r="B3" t="s">
        <v>5</v>
      </c>
      <c r="C3" t="s">
        <v>21</v>
      </c>
      <c r="D3" t="s">
        <v>31</v>
      </c>
      <c r="E3">
        <v>47</v>
      </c>
      <c r="F3">
        <v>21</v>
      </c>
    </row>
    <row r="4" spans="1:6" x14ac:dyDescent="0.2">
      <c r="A4" s="2">
        <v>42895.852662037039</v>
      </c>
      <c r="B4" t="s">
        <v>7</v>
      </c>
      <c r="C4" t="s">
        <v>22</v>
      </c>
      <c r="D4" t="s">
        <v>30</v>
      </c>
      <c r="E4">
        <v>87</v>
      </c>
      <c r="F4">
        <v>85</v>
      </c>
    </row>
    <row r="5" spans="1:6" x14ac:dyDescent="0.2">
      <c r="A5" s="2">
        <v>42895.852662037039</v>
      </c>
      <c r="B5" t="s">
        <v>8</v>
      </c>
      <c r="C5" t="s">
        <v>23</v>
      </c>
      <c r="D5" t="s">
        <v>31</v>
      </c>
      <c r="E5">
        <v>86</v>
      </c>
      <c r="F5">
        <v>83</v>
      </c>
    </row>
    <row r="6" spans="1:6" x14ac:dyDescent="0.2">
      <c r="A6" s="2">
        <v>42895.852662037039</v>
      </c>
      <c r="B6" t="s">
        <v>9</v>
      </c>
      <c r="C6" t="s">
        <v>45</v>
      </c>
      <c r="D6" t="s">
        <v>45</v>
      </c>
      <c r="E6">
        <v>64</v>
      </c>
      <c r="F6">
        <v>84</v>
      </c>
    </row>
    <row r="7" spans="1:6" x14ac:dyDescent="0.2">
      <c r="A7" s="2">
        <v>42895.852662037039</v>
      </c>
      <c r="B7" t="s">
        <v>10</v>
      </c>
      <c r="C7" t="s">
        <v>21</v>
      </c>
      <c r="D7" t="s">
        <v>31</v>
      </c>
      <c r="E7">
        <v>60</v>
      </c>
      <c r="F7">
        <v>58</v>
      </c>
    </row>
    <row r="8" spans="1:6" x14ac:dyDescent="0.2">
      <c r="A8" s="2">
        <v>42895.852662037039</v>
      </c>
      <c r="B8" t="s">
        <v>11</v>
      </c>
      <c r="C8" t="s">
        <v>22</v>
      </c>
      <c r="D8" t="s">
        <v>30</v>
      </c>
      <c r="E8">
        <v>65</v>
      </c>
      <c r="F8">
        <v>0</v>
      </c>
    </row>
    <row r="9" spans="1:6" x14ac:dyDescent="0.2">
      <c r="A9" s="2">
        <v>42895.852662037039</v>
      </c>
      <c r="B9" t="s">
        <v>12</v>
      </c>
      <c r="C9" t="s">
        <v>26</v>
      </c>
      <c r="D9" t="s">
        <v>30</v>
      </c>
      <c r="E9">
        <v>99</v>
      </c>
      <c r="F9">
        <v>72</v>
      </c>
    </row>
    <row r="10" spans="1:6" x14ac:dyDescent="0.2">
      <c r="A10" s="2">
        <v>42895.852662037039</v>
      </c>
      <c r="B10" t="s">
        <v>13</v>
      </c>
      <c r="C10" t="s">
        <v>24</v>
      </c>
      <c r="D10" t="s">
        <v>32</v>
      </c>
      <c r="E10">
        <v>6</v>
      </c>
      <c r="F10">
        <v>0</v>
      </c>
    </row>
    <row r="11" spans="1:6" x14ac:dyDescent="0.2">
      <c r="A11" s="2">
        <v>42895.852662037039</v>
      </c>
      <c r="B11" t="s">
        <v>14</v>
      </c>
      <c r="C11" t="s">
        <v>36</v>
      </c>
      <c r="D11" t="s">
        <v>39</v>
      </c>
      <c r="E11">
        <v>66</v>
      </c>
      <c r="F11">
        <v>56</v>
      </c>
    </row>
    <row r="12" spans="1:6" x14ac:dyDescent="0.2">
      <c r="A12" s="2">
        <v>42895.852662037039</v>
      </c>
      <c r="B12" t="s">
        <v>15</v>
      </c>
      <c r="C12" t="s">
        <v>23</v>
      </c>
      <c r="D12" t="s">
        <v>31</v>
      </c>
      <c r="E12">
        <v>89</v>
      </c>
      <c r="F12">
        <v>72</v>
      </c>
    </row>
    <row r="13" spans="1:6" x14ac:dyDescent="0.2">
      <c r="A13" s="2">
        <v>42895.852662037039</v>
      </c>
      <c r="B13" t="s">
        <v>16</v>
      </c>
      <c r="C13" t="s">
        <v>38</v>
      </c>
      <c r="D13" t="s">
        <v>47</v>
      </c>
      <c r="E13">
        <v>80</v>
      </c>
      <c r="F13">
        <v>6</v>
      </c>
    </row>
    <row r="14" spans="1:6" x14ac:dyDescent="0.2">
      <c r="A14" s="2">
        <v>42895.852662037039</v>
      </c>
      <c r="B14" t="s">
        <v>17</v>
      </c>
      <c r="C14" t="s">
        <v>25</v>
      </c>
      <c r="D14" t="s">
        <v>32</v>
      </c>
      <c r="E14">
        <v>67</v>
      </c>
      <c r="F14">
        <v>60</v>
      </c>
    </row>
    <row r="15" spans="1:6" x14ac:dyDescent="0.2">
      <c r="A15" s="2">
        <v>42895.852662037039</v>
      </c>
      <c r="B15" t="s">
        <v>18</v>
      </c>
      <c r="C15" t="s">
        <v>43</v>
      </c>
      <c r="D15" t="s">
        <v>46</v>
      </c>
      <c r="E15">
        <v>32</v>
      </c>
      <c r="F15">
        <v>33</v>
      </c>
    </row>
    <row r="16" spans="1:6" x14ac:dyDescent="0.2">
      <c r="A16" s="2">
        <v>42895.852662037039</v>
      </c>
      <c r="B16" t="s">
        <v>34</v>
      </c>
      <c r="C16" t="s">
        <v>45</v>
      </c>
      <c r="D16" t="s">
        <v>45</v>
      </c>
      <c r="E16">
        <v>93</v>
      </c>
      <c r="F16">
        <v>6</v>
      </c>
    </row>
    <row r="17" spans="1:6" x14ac:dyDescent="0.2">
      <c r="A17" s="2">
        <v>42895.889236111114</v>
      </c>
      <c r="B17" t="s">
        <v>3</v>
      </c>
      <c r="C17" t="s">
        <v>19</v>
      </c>
      <c r="D17" t="s">
        <v>30</v>
      </c>
      <c r="E17">
        <v>96</v>
      </c>
      <c r="F17">
        <v>92</v>
      </c>
    </row>
    <row r="18" spans="1:6" x14ac:dyDescent="0.2">
      <c r="A18" s="2">
        <v>42895.889236111114</v>
      </c>
      <c r="B18" t="s">
        <v>5</v>
      </c>
      <c r="C18" t="s">
        <v>21</v>
      </c>
      <c r="D18" t="s">
        <v>31</v>
      </c>
      <c r="E18">
        <v>50</v>
      </c>
      <c r="F18">
        <v>59</v>
      </c>
    </row>
    <row r="19" spans="1:6" x14ac:dyDescent="0.2">
      <c r="A19" s="2">
        <v>42895.889236111114</v>
      </c>
      <c r="B19" t="s">
        <v>7</v>
      </c>
      <c r="C19" t="s">
        <v>22</v>
      </c>
      <c r="D19" t="s">
        <v>30</v>
      </c>
      <c r="E19">
        <v>10</v>
      </c>
      <c r="F19">
        <v>94</v>
      </c>
    </row>
    <row r="20" spans="1:6" x14ac:dyDescent="0.2">
      <c r="A20" s="2">
        <v>42895.889236111114</v>
      </c>
      <c r="B20" t="s">
        <v>8</v>
      </c>
      <c r="C20" t="s">
        <v>23</v>
      </c>
      <c r="D20" t="s">
        <v>31</v>
      </c>
      <c r="E20">
        <v>350</v>
      </c>
      <c r="F20">
        <v>56</v>
      </c>
    </row>
    <row r="21" spans="1:6" x14ac:dyDescent="0.2">
      <c r="A21" s="2">
        <v>42895.889236111114</v>
      </c>
      <c r="B21" t="s">
        <v>9</v>
      </c>
      <c r="C21" t="s">
        <v>45</v>
      </c>
      <c r="D21" t="s">
        <v>45</v>
      </c>
      <c r="E21">
        <v>47</v>
      </c>
      <c r="F21">
        <v>53</v>
      </c>
    </row>
    <row r="22" spans="1:6" x14ac:dyDescent="0.2">
      <c r="A22" s="2">
        <v>42895.889236111114</v>
      </c>
      <c r="B22" t="s">
        <v>10</v>
      </c>
      <c r="C22" t="s">
        <v>21</v>
      </c>
      <c r="D22" t="s">
        <v>31</v>
      </c>
      <c r="E22">
        <v>91</v>
      </c>
      <c r="F22">
        <v>760</v>
      </c>
    </row>
    <row r="23" spans="1:6" x14ac:dyDescent="0.2">
      <c r="A23" s="2">
        <v>42895.889236111114</v>
      </c>
      <c r="B23" t="s">
        <v>11</v>
      </c>
      <c r="C23" t="s">
        <v>22</v>
      </c>
      <c r="D23" t="s">
        <v>30</v>
      </c>
      <c r="E23">
        <v>47</v>
      </c>
      <c r="F23">
        <v>77</v>
      </c>
    </row>
    <row r="24" spans="1:6" x14ac:dyDescent="0.2">
      <c r="A24" s="2">
        <v>42895.889236111114</v>
      </c>
      <c r="B24" t="s">
        <v>12</v>
      </c>
      <c r="C24" t="s">
        <v>26</v>
      </c>
      <c r="D24" t="s">
        <v>30</v>
      </c>
      <c r="E24">
        <v>67</v>
      </c>
      <c r="F24">
        <v>83</v>
      </c>
    </row>
    <row r="25" spans="1:6" x14ac:dyDescent="0.2">
      <c r="A25" s="2">
        <v>42895.889236111114</v>
      </c>
      <c r="B25" t="s">
        <v>13</v>
      </c>
      <c r="C25" t="s">
        <v>24</v>
      </c>
      <c r="D25" t="s">
        <v>32</v>
      </c>
      <c r="E25">
        <v>290</v>
      </c>
      <c r="F25">
        <v>81</v>
      </c>
    </row>
    <row r="26" spans="1:6" x14ac:dyDescent="0.2">
      <c r="A26" s="2">
        <v>42895.889236111114</v>
      </c>
      <c r="B26" t="s">
        <v>14</v>
      </c>
      <c r="C26" t="s">
        <v>36</v>
      </c>
      <c r="D26" t="s">
        <v>39</v>
      </c>
      <c r="E26">
        <v>35</v>
      </c>
      <c r="F26">
        <v>24</v>
      </c>
    </row>
    <row r="27" spans="1:6" x14ac:dyDescent="0.2">
      <c r="A27" s="2">
        <v>42895.889236111114</v>
      </c>
      <c r="B27" t="s">
        <v>15</v>
      </c>
      <c r="C27" t="s">
        <v>23</v>
      </c>
      <c r="D27" t="s">
        <v>31</v>
      </c>
      <c r="E27">
        <v>45</v>
      </c>
      <c r="F27">
        <v>32</v>
      </c>
    </row>
    <row r="28" spans="1:6" x14ac:dyDescent="0.2">
      <c r="A28" s="2">
        <v>42895.889236111114</v>
      </c>
      <c r="B28" t="s">
        <v>16</v>
      </c>
      <c r="C28" t="s">
        <v>38</v>
      </c>
      <c r="D28" t="s">
        <v>47</v>
      </c>
      <c r="E28">
        <v>55</v>
      </c>
      <c r="F28">
        <v>680</v>
      </c>
    </row>
    <row r="29" spans="1:6" x14ac:dyDescent="0.2">
      <c r="A29" s="2">
        <v>42895.889236111114</v>
      </c>
      <c r="B29" t="s">
        <v>17</v>
      </c>
      <c r="C29" t="s">
        <v>48</v>
      </c>
      <c r="D29" t="s">
        <v>32</v>
      </c>
      <c r="E29">
        <v>79</v>
      </c>
      <c r="F29">
        <v>44</v>
      </c>
    </row>
    <row r="30" spans="1:6" x14ac:dyDescent="0.2">
      <c r="A30" s="2">
        <v>42895.889236111114</v>
      </c>
      <c r="B30" t="s">
        <v>18</v>
      </c>
      <c r="C30" t="s">
        <v>43</v>
      </c>
      <c r="D30" t="s">
        <v>46</v>
      </c>
      <c r="E30">
        <v>49</v>
      </c>
      <c r="F30">
        <v>73</v>
      </c>
    </row>
    <row r="31" spans="1:6" x14ac:dyDescent="0.2">
      <c r="A31" s="2">
        <v>42895.889236111114</v>
      </c>
      <c r="B31" t="s">
        <v>34</v>
      </c>
      <c r="C31" t="s">
        <v>45</v>
      </c>
      <c r="D31" t="s">
        <v>45</v>
      </c>
      <c r="E31">
        <v>56</v>
      </c>
      <c r="F31">
        <v>4</v>
      </c>
    </row>
    <row r="32" spans="1:6" x14ac:dyDescent="0.2">
      <c r="A32" s="2">
        <v>42895.889236111114</v>
      </c>
      <c r="B32" t="s">
        <v>7</v>
      </c>
      <c r="C32" t="s">
        <v>22</v>
      </c>
      <c r="E32">
        <v>10</v>
      </c>
      <c r="F32">
        <v>94</v>
      </c>
    </row>
    <row r="33" spans="1:6" x14ac:dyDescent="0.2">
      <c r="A33" s="2">
        <v>42895.889236111114</v>
      </c>
      <c r="B33" t="s">
        <v>8</v>
      </c>
      <c r="C33" t="s">
        <v>23</v>
      </c>
      <c r="E33">
        <v>350</v>
      </c>
      <c r="F33">
        <v>56</v>
      </c>
    </row>
    <row r="34" spans="1:6" x14ac:dyDescent="0.2">
      <c r="A34" s="2">
        <v>42895.889236111114</v>
      </c>
      <c r="B34" t="s">
        <v>9</v>
      </c>
      <c r="C34" t="s">
        <v>45</v>
      </c>
      <c r="E34">
        <v>47</v>
      </c>
      <c r="F34">
        <v>53</v>
      </c>
    </row>
    <row r="35" spans="1:6" x14ac:dyDescent="0.2">
      <c r="A35" s="2">
        <v>42895.930902777778</v>
      </c>
      <c r="B35" t="s">
        <v>3</v>
      </c>
      <c r="C35" t="s">
        <v>19</v>
      </c>
      <c r="D35" t="s">
        <v>30</v>
      </c>
      <c r="E35">
        <v>96</v>
      </c>
      <c r="F35">
        <v>92</v>
      </c>
    </row>
    <row r="36" spans="1:6" x14ac:dyDescent="0.2">
      <c r="A36" s="2">
        <v>42895.930902777778</v>
      </c>
      <c r="B36" t="s">
        <v>5</v>
      </c>
      <c r="C36" t="s">
        <v>21</v>
      </c>
      <c r="D36" t="s">
        <v>31</v>
      </c>
      <c r="E36">
        <v>50</v>
      </c>
      <c r="F36">
        <v>59</v>
      </c>
    </row>
    <row r="37" spans="1:6" x14ac:dyDescent="0.2">
      <c r="A37" s="2">
        <v>42895.930902777778</v>
      </c>
      <c r="B37" t="s">
        <v>7</v>
      </c>
      <c r="C37" t="s">
        <v>22</v>
      </c>
      <c r="D37" t="s">
        <v>30</v>
      </c>
      <c r="E37">
        <v>10</v>
      </c>
      <c r="F37">
        <v>94</v>
      </c>
    </row>
    <row r="38" spans="1:6" x14ac:dyDescent="0.2">
      <c r="A38" s="2">
        <v>42895.930902777778</v>
      </c>
      <c r="B38" t="s">
        <v>8</v>
      </c>
      <c r="C38" t="s">
        <v>23</v>
      </c>
      <c r="D38" t="s">
        <v>31</v>
      </c>
      <c r="E38">
        <v>350</v>
      </c>
      <c r="F38">
        <v>56</v>
      </c>
    </row>
    <row r="39" spans="1:6" x14ac:dyDescent="0.2">
      <c r="A39" s="2">
        <v>42895.930902777778</v>
      </c>
      <c r="B39" t="s">
        <v>9</v>
      </c>
      <c r="C39" t="s">
        <v>45</v>
      </c>
      <c r="D39" t="s">
        <v>45</v>
      </c>
      <c r="E39">
        <v>47</v>
      </c>
      <c r="F39">
        <v>53</v>
      </c>
    </row>
    <row r="40" spans="1:6" x14ac:dyDescent="0.2">
      <c r="A40" s="2">
        <v>42895.930902777778</v>
      </c>
      <c r="B40" t="s">
        <v>10</v>
      </c>
      <c r="C40" t="s">
        <v>21</v>
      </c>
      <c r="D40" t="s">
        <v>31</v>
      </c>
      <c r="E40">
        <v>91</v>
      </c>
      <c r="F40">
        <v>760</v>
      </c>
    </row>
    <row r="41" spans="1:6" x14ac:dyDescent="0.2">
      <c r="A41" s="2">
        <v>42895.930902777778</v>
      </c>
      <c r="B41" t="s">
        <v>11</v>
      </c>
      <c r="C41" t="s">
        <v>22</v>
      </c>
      <c r="D41" t="s">
        <v>30</v>
      </c>
      <c r="E41">
        <v>47</v>
      </c>
      <c r="F41">
        <v>77</v>
      </c>
    </row>
    <row r="42" spans="1:6" x14ac:dyDescent="0.2">
      <c r="A42" s="2">
        <v>42895.930902777778</v>
      </c>
      <c r="B42" t="s">
        <v>12</v>
      </c>
      <c r="C42" t="s">
        <v>26</v>
      </c>
      <c r="D42" t="s">
        <v>30</v>
      </c>
      <c r="E42">
        <v>66</v>
      </c>
      <c r="F42">
        <v>83</v>
      </c>
    </row>
    <row r="43" spans="1:6" x14ac:dyDescent="0.2">
      <c r="A43" s="2">
        <v>42895.930902777778</v>
      </c>
      <c r="B43" t="s">
        <v>13</v>
      </c>
      <c r="C43" t="s">
        <v>24</v>
      </c>
      <c r="D43" t="s">
        <v>32</v>
      </c>
      <c r="E43">
        <v>29</v>
      </c>
      <c r="F43">
        <v>81</v>
      </c>
    </row>
    <row r="44" spans="1:6" x14ac:dyDescent="0.2">
      <c r="A44" s="2">
        <v>42895.930902777778</v>
      </c>
      <c r="B44" t="s">
        <v>14</v>
      </c>
      <c r="C44" t="s">
        <v>36</v>
      </c>
      <c r="D44" t="s">
        <v>39</v>
      </c>
      <c r="E44">
        <v>35</v>
      </c>
      <c r="F44">
        <v>24</v>
      </c>
    </row>
    <row r="45" spans="1:6" x14ac:dyDescent="0.2">
      <c r="A45" s="2">
        <v>42895.930902777778</v>
      </c>
      <c r="B45" t="s">
        <v>15</v>
      </c>
      <c r="C45" t="s">
        <v>23</v>
      </c>
      <c r="D45" t="s">
        <v>31</v>
      </c>
      <c r="E45">
        <v>45</v>
      </c>
      <c r="F45">
        <v>32</v>
      </c>
    </row>
    <row r="46" spans="1:6" x14ac:dyDescent="0.2">
      <c r="A46" s="2">
        <v>42895.930902777778</v>
      </c>
      <c r="B46" t="s">
        <v>16</v>
      </c>
      <c r="C46" t="s">
        <v>38</v>
      </c>
      <c r="D46" t="s">
        <v>47</v>
      </c>
      <c r="E46">
        <v>55</v>
      </c>
      <c r="F46">
        <v>680</v>
      </c>
    </row>
    <row r="47" spans="1:6" x14ac:dyDescent="0.2">
      <c r="A47" s="2">
        <v>42895.930902777778</v>
      </c>
      <c r="B47" t="s">
        <v>17</v>
      </c>
      <c r="C47" t="s">
        <v>48</v>
      </c>
      <c r="D47" t="s">
        <v>32</v>
      </c>
      <c r="E47">
        <v>79</v>
      </c>
      <c r="F47">
        <v>44</v>
      </c>
    </row>
    <row r="48" spans="1:6" x14ac:dyDescent="0.2">
      <c r="A48" s="2">
        <v>42895.930902777778</v>
      </c>
      <c r="B48" t="s">
        <v>18</v>
      </c>
      <c r="C48" t="s">
        <v>43</v>
      </c>
      <c r="D48" t="s">
        <v>46</v>
      </c>
      <c r="E48">
        <v>49</v>
      </c>
      <c r="F48">
        <v>70</v>
      </c>
    </row>
    <row r="49" spans="1:6" x14ac:dyDescent="0.2">
      <c r="A49" s="2">
        <v>42895.930902777778</v>
      </c>
      <c r="B49" t="s">
        <v>34</v>
      </c>
      <c r="C49" t="s">
        <v>45</v>
      </c>
      <c r="D49" t="s">
        <v>45</v>
      </c>
      <c r="E49">
        <v>56</v>
      </c>
      <c r="F49">
        <v>4</v>
      </c>
    </row>
    <row r="50" spans="1:6" x14ac:dyDescent="0.2">
      <c r="A50" s="2">
        <v>42895.930902777778</v>
      </c>
      <c r="B50" t="s">
        <v>12</v>
      </c>
      <c r="E50">
        <v>66</v>
      </c>
      <c r="F50">
        <v>83</v>
      </c>
    </row>
    <row r="51" spans="1:6" x14ac:dyDescent="0.2">
      <c r="A51" s="2">
        <v>42895.930902777778</v>
      </c>
      <c r="B51" t="s">
        <v>13</v>
      </c>
      <c r="E51">
        <v>29</v>
      </c>
      <c r="F51">
        <v>81</v>
      </c>
    </row>
    <row r="52" spans="1:6" x14ac:dyDescent="0.2">
      <c r="A52" s="2">
        <v>42895.930902777778</v>
      </c>
      <c r="B52" t="s">
        <v>14</v>
      </c>
      <c r="E52">
        <v>35</v>
      </c>
      <c r="F52">
        <v>24</v>
      </c>
    </row>
    <row r="53" spans="1:6" x14ac:dyDescent="0.2">
      <c r="A53" s="2">
        <v>42898.01761574074</v>
      </c>
      <c r="B53" t="s">
        <v>3</v>
      </c>
      <c r="C53" t="s">
        <v>19</v>
      </c>
      <c r="D53" t="s">
        <v>30</v>
      </c>
      <c r="E53">
        <v>99</v>
      </c>
      <c r="F53">
        <v>78</v>
      </c>
    </row>
    <row r="54" spans="1:6" x14ac:dyDescent="0.2">
      <c r="A54" s="2">
        <v>42898.01761574074</v>
      </c>
      <c r="B54" t="s">
        <v>5</v>
      </c>
      <c r="C54" t="s">
        <v>21</v>
      </c>
      <c r="D54" t="s">
        <v>31</v>
      </c>
      <c r="E54">
        <v>19</v>
      </c>
      <c r="F54">
        <v>63</v>
      </c>
    </row>
    <row r="55" spans="1:6" x14ac:dyDescent="0.2">
      <c r="A55" s="2">
        <v>42898.01761574074</v>
      </c>
      <c r="B55" t="s">
        <v>7</v>
      </c>
      <c r="C55" t="s">
        <v>22</v>
      </c>
      <c r="D55" t="s">
        <v>30</v>
      </c>
      <c r="E55">
        <v>94</v>
      </c>
      <c r="F55">
        <v>34</v>
      </c>
    </row>
    <row r="56" spans="1:6" x14ac:dyDescent="0.2">
      <c r="A56" s="2">
        <v>42898.01761574074</v>
      </c>
      <c r="B56" t="s">
        <v>8</v>
      </c>
      <c r="C56" t="s">
        <v>23</v>
      </c>
      <c r="D56" t="s">
        <v>31</v>
      </c>
      <c r="E56">
        <v>13</v>
      </c>
      <c r="F56">
        <v>26</v>
      </c>
    </row>
    <row r="57" spans="1:6" x14ac:dyDescent="0.2">
      <c r="A57" s="2">
        <v>42898.01761574074</v>
      </c>
      <c r="B57" t="s">
        <v>9</v>
      </c>
      <c r="C57" t="s">
        <v>45</v>
      </c>
      <c r="D57" t="s">
        <v>45</v>
      </c>
      <c r="E57">
        <v>43</v>
      </c>
      <c r="F57">
        <v>81</v>
      </c>
    </row>
    <row r="58" spans="1:6" x14ac:dyDescent="0.2">
      <c r="A58" s="2">
        <v>42898.01761574074</v>
      </c>
      <c r="B58" t="s">
        <v>10</v>
      </c>
      <c r="C58" t="s">
        <v>21</v>
      </c>
      <c r="D58" t="s">
        <v>31</v>
      </c>
      <c r="E58">
        <v>29</v>
      </c>
      <c r="F58">
        <v>35</v>
      </c>
    </row>
    <row r="59" spans="1:6" x14ac:dyDescent="0.2">
      <c r="A59" s="2">
        <v>42898.01761574074</v>
      </c>
      <c r="B59" t="s">
        <v>11</v>
      </c>
      <c r="C59" t="s">
        <v>22</v>
      </c>
      <c r="D59" t="s">
        <v>30</v>
      </c>
      <c r="E59">
        <v>10</v>
      </c>
      <c r="F59">
        <v>4</v>
      </c>
    </row>
    <row r="60" spans="1:6" x14ac:dyDescent="0.2">
      <c r="A60" s="2">
        <v>42898.01761574074</v>
      </c>
      <c r="B60" t="s">
        <v>12</v>
      </c>
      <c r="C60" t="s">
        <v>26</v>
      </c>
      <c r="D60" t="s">
        <v>30</v>
      </c>
      <c r="E60">
        <v>3</v>
      </c>
      <c r="F60">
        <v>42</v>
      </c>
    </row>
    <row r="61" spans="1:6" x14ac:dyDescent="0.2">
      <c r="A61" s="2">
        <v>42898.01761574074</v>
      </c>
      <c r="B61" t="s">
        <v>13</v>
      </c>
      <c r="C61" t="s">
        <v>24</v>
      </c>
      <c r="D61" t="s">
        <v>32</v>
      </c>
      <c r="E61">
        <v>48</v>
      </c>
      <c r="F61">
        <v>64</v>
      </c>
    </row>
    <row r="62" spans="1:6" x14ac:dyDescent="0.2">
      <c r="A62" s="2">
        <v>42898.01761574074</v>
      </c>
      <c r="B62" t="s">
        <v>14</v>
      </c>
      <c r="C62" t="s">
        <v>36</v>
      </c>
      <c r="D62" t="s">
        <v>39</v>
      </c>
      <c r="E62">
        <v>71</v>
      </c>
      <c r="F62">
        <v>12</v>
      </c>
    </row>
    <row r="63" spans="1:6" x14ac:dyDescent="0.2">
      <c r="A63" s="2">
        <v>42898.01761574074</v>
      </c>
      <c r="B63" t="s">
        <v>15</v>
      </c>
      <c r="C63" t="s">
        <v>23</v>
      </c>
      <c r="D63" t="s">
        <v>31</v>
      </c>
      <c r="E63">
        <v>60</v>
      </c>
      <c r="F63">
        <v>5</v>
      </c>
    </row>
    <row r="64" spans="1:6" x14ac:dyDescent="0.2">
      <c r="A64" s="2">
        <v>42898.01761574074</v>
      </c>
      <c r="B64" t="s">
        <v>16</v>
      </c>
      <c r="C64" t="s">
        <v>38</v>
      </c>
      <c r="D64" t="s">
        <v>47</v>
      </c>
      <c r="E64">
        <v>64</v>
      </c>
      <c r="F64">
        <v>49</v>
      </c>
    </row>
    <row r="65" spans="1:6" x14ac:dyDescent="0.2">
      <c r="A65" s="2">
        <v>42898.01761574074</v>
      </c>
      <c r="B65" t="s">
        <v>17</v>
      </c>
      <c r="C65" t="s">
        <v>25</v>
      </c>
      <c r="D65" t="s">
        <v>32</v>
      </c>
      <c r="E65">
        <v>14</v>
      </c>
      <c r="F65">
        <v>92</v>
      </c>
    </row>
    <row r="66" spans="1:6" x14ac:dyDescent="0.2">
      <c r="A66" s="2">
        <v>42898.01761574074</v>
      </c>
      <c r="B66" t="s">
        <v>18</v>
      </c>
      <c r="C66" t="s">
        <v>43</v>
      </c>
      <c r="D66" t="s">
        <v>46</v>
      </c>
      <c r="E66">
        <v>7</v>
      </c>
      <c r="F66">
        <v>35</v>
      </c>
    </row>
    <row r="67" spans="1:6" x14ac:dyDescent="0.2">
      <c r="A67" s="2">
        <v>42898.01761574074</v>
      </c>
      <c r="B67" t="s">
        <v>34</v>
      </c>
      <c r="C67" t="s">
        <v>45</v>
      </c>
      <c r="D67" t="s">
        <v>45</v>
      </c>
      <c r="E67">
        <v>80</v>
      </c>
      <c r="F67">
        <v>53</v>
      </c>
    </row>
    <row r="68" spans="1:6" x14ac:dyDescent="0.2">
      <c r="A68" s="2">
        <v>42898.019305555557</v>
      </c>
      <c r="B68" t="s">
        <v>3</v>
      </c>
      <c r="C68" t="s">
        <v>19</v>
      </c>
      <c r="D68" t="s">
        <v>30</v>
      </c>
      <c r="E68">
        <v>76</v>
      </c>
      <c r="F68">
        <v>75</v>
      </c>
    </row>
    <row r="69" spans="1:6" x14ac:dyDescent="0.2">
      <c r="A69" s="2">
        <v>42898.019305555557</v>
      </c>
      <c r="B69" t="s">
        <v>5</v>
      </c>
      <c r="C69" t="s">
        <v>21</v>
      </c>
      <c r="D69" t="s">
        <v>31</v>
      </c>
      <c r="E69">
        <v>80</v>
      </c>
      <c r="F69">
        <v>97</v>
      </c>
    </row>
    <row r="70" spans="1:6" x14ac:dyDescent="0.2">
      <c r="A70" s="2">
        <v>42898.019305555557</v>
      </c>
      <c r="B70" t="s">
        <v>7</v>
      </c>
      <c r="C70" t="s">
        <v>22</v>
      </c>
      <c r="D70" t="s">
        <v>30</v>
      </c>
      <c r="E70">
        <v>79</v>
      </c>
      <c r="F70">
        <v>97</v>
      </c>
    </row>
    <row r="71" spans="1:6" x14ac:dyDescent="0.2">
      <c r="A71" s="2">
        <v>42898.019305555557</v>
      </c>
      <c r="B71" t="s">
        <v>8</v>
      </c>
      <c r="C71" t="s">
        <v>23</v>
      </c>
      <c r="D71" t="s">
        <v>31</v>
      </c>
      <c r="E71">
        <v>76</v>
      </c>
      <c r="F71">
        <v>52</v>
      </c>
    </row>
    <row r="72" spans="1:6" x14ac:dyDescent="0.2">
      <c r="A72" s="2">
        <v>42898.019305555557</v>
      </c>
      <c r="B72" t="s">
        <v>9</v>
      </c>
      <c r="C72" t="s">
        <v>45</v>
      </c>
      <c r="D72" t="s">
        <v>45</v>
      </c>
      <c r="E72">
        <v>31</v>
      </c>
      <c r="F72">
        <v>36</v>
      </c>
    </row>
    <row r="73" spans="1:6" x14ac:dyDescent="0.2">
      <c r="A73" s="2">
        <v>42898.019305555557</v>
      </c>
      <c r="B73" t="s">
        <v>10</v>
      </c>
      <c r="C73" t="s">
        <v>21</v>
      </c>
      <c r="D73" t="s">
        <v>31</v>
      </c>
      <c r="E73">
        <v>68</v>
      </c>
      <c r="F73">
        <v>23</v>
      </c>
    </row>
    <row r="74" spans="1:6" x14ac:dyDescent="0.2">
      <c r="A74" s="2">
        <v>42898.019305555557</v>
      </c>
      <c r="B74" t="s">
        <v>11</v>
      </c>
      <c r="C74" t="s">
        <v>22</v>
      </c>
      <c r="D74" t="s">
        <v>30</v>
      </c>
      <c r="E74">
        <v>27</v>
      </c>
      <c r="F74">
        <v>29</v>
      </c>
    </row>
    <row r="75" spans="1:6" x14ac:dyDescent="0.2">
      <c r="A75" s="2">
        <v>42898.019305555557</v>
      </c>
      <c r="B75" t="s">
        <v>12</v>
      </c>
      <c r="C75" t="s">
        <v>26</v>
      </c>
      <c r="D75" t="s">
        <v>30</v>
      </c>
      <c r="E75">
        <v>68</v>
      </c>
      <c r="F75">
        <v>87</v>
      </c>
    </row>
    <row r="76" spans="1:6" x14ac:dyDescent="0.2">
      <c r="A76" s="2">
        <v>42898.019305555557</v>
      </c>
      <c r="B76" t="s">
        <v>13</v>
      </c>
      <c r="C76" t="s">
        <v>24</v>
      </c>
      <c r="D76" t="s">
        <v>32</v>
      </c>
      <c r="E76">
        <v>27</v>
      </c>
      <c r="F76">
        <v>72</v>
      </c>
    </row>
    <row r="77" spans="1:6" x14ac:dyDescent="0.2">
      <c r="A77" s="2">
        <v>42898.019305555557</v>
      </c>
      <c r="B77" t="s">
        <v>14</v>
      </c>
      <c r="C77" t="s">
        <v>36</v>
      </c>
      <c r="D77" t="s">
        <v>39</v>
      </c>
      <c r="E77">
        <v>91</v>
      </c>
      <c r="F77">
        <v>96</v>
      </c>
    </row>
    <row r="78" spans="1:6" x14ac:dyDescent="0.2">
      <c r="A78" s="2">
        <v>42898.019305555557</v>
      </c>
      <c r="B78" t="s">
        <v>15</v>
      </c>
      <c r="C78" t="s">
        <v>23</v>
      </c>
      <c r="D78" t="s">
        <v>31</v>
      </c>
      <c r="E78">
        <v>12</v>
      </c>
      <c r="F78">
        <v>81</v>
      </c>
    </row>
    <row r="79" spans="1:6" x14ac:dyDescent="0.2">
      <c r="A79" s="2">
        <v>42898.019305555557</v>
      </c>
      <c r="B79" t="s">
        <v>16</v>
      </c>
      <c r="C79" t="s">
        <v>38</v>
      </c>
      <c r="D79" t="s">
        <v>47</v>
      </c>
      <c r="E79">
        <v>57</v>
      </c>
      <c r="F79">
        <v>21</v>
      </c>
    </row>
    <row r="80" spans="1:6" x14ac:dyDescent="0.2">
      <c r="A80" s="2">
        <v>42898.019305555557</v>
      </c>
      <c r="B80" t="s">
        <v>17</v>
      </c>
      <c r="C80" t="s">
        <v>25</v>
      </c>
      <c r="D80" t="s">
        <v>32</v>
      </c>
      <c r="E80">
        <v>7</v>
      </c>
      <c r="F80">
        <v>29</v>
      </c>
    </row>
    <row r="81" spans="1:6" x14ac:dyDescent="0.2">
      <c r="A81" s="2">
        <v>42898.019305555557</v>
      </c>
      <c r="B81" t="s">
        <v>18</v>
      </c>
      <c r="C81" t="s">
        <v>43</v>
      </c>
      <c r="D81" t="s">
        <v>46</v>
      </c>
      <c r="E81">
        <v>14</v>
      </c>
      <c r="F81">
        <v>20</v>
      </c>
    </row>
    <row r="82" spans="1:6" x14ac:dyDescent="0.2">
      <c r="A82" s="2">
        <v>42898.019305555557</v>
      </c>
      <c r="B82" t="s">
        <v>34</v>
      </c>
      <c r="C82" t="s">
        <v>45</v>
      </c>
      <c r="D82" t="s">
        <v>45</v>
      </c>
      <c r="E82">
        <v>85</v>
      </c>
      <c r="F82">
        <v>67</v>
      </c>
    </row>
    <row r="83" spans="1:6" x14ac:dyDescent="0.2">
      <c r="A83" s="2">
        <v>42898.01935185185</v>
      </c>
      <c r="B83" t="s">
        <v>3</v>
      </c>
      <c r="C83" t="s">
        <v>19</v>
      </c>
      <c r="D83" t="s">
        <v>30</v>
      </c>
      <c r="E83">
        <v>42</v>
      </c>
      <c r="F83">
        <v>76</v>
      </c>
    </row>
    <row r="84" spans="1:6" x14ac:dyDescent="0.2">
      <c r="A84" s="2">
        <v>42898.01935185185</v>
      </c>
      <c r="B84" t="s">
        <v>5</v>
      </c>
      <c r="C84" t="s">
        <v>21</v>
      </c>
      <c r="D84" t="s">
        <v>31</v>
      </c>
      <c r="E84">
        <v>28</v>
      </c>
      <c r="F84">
        <v>89</v>
      </c>
    </row>
    <row r="85" spans="1:6" x14ac:dyDescent="0.2">
      <c r="A85" s="2">
        <v>42898.01935185185</v>
      </c>
      <c r="B85" t="s">
        <v>7</v>
      </c>
      <c r="C85" t="s">
        <v>22</v>
      </c>
      <c r="D85" t="s">
        <v>30</v>
      </c>
      <c r="E85">
        <v>23</v>
      </c>
      <c r="F85">
        <v>54</v>
      </c>
    </row>
    <row r="86" spans="1:6" x14ac:dyDescent="0.2">
      <c r="A86" s="2">
        <v>42898.01935185185</v>
      </c>
      <c r="B86" t="s">
        <v>8</v>
      </c>
      <c r="C86" t="s">
        <v>23</v>
      </c>
      <c r="D86" t="s">
        <v>31</v>
      </c>
      <c r="E86">
        <v>27</v>
      </c>
      <c r="F86">
        <v>40</v>
      </c>
    </row>
    <row r="87" spans="1:6" x14ac:dyDescent="0.2">
      <c r="A87" s="2">
        <v>42898.01935185185</v>
      </c>
      <c r="B87" t="s">
        <v>9</v>
      </c>
      <c r="C87" t="s">
        <v>45</v>
      </c>
      <c r="D87" t="s">
        <v>45</v>
      </c>
      <c r="E87">
        <v>67</v>
      </c>
      <c r="F87">
        <v>82</v>
      </c>
    </row>
    <row r="88" spans="1:6" x14ac:dyDescent="0.2">
      <c r="A88" s="2">
        <v>42898.01935185185</v>
      </c>
      <c r="B88" t="s">
        <v>10</v>
      </c>
      <c r="C88" t="s">
        <v>21</v>
      </c>
      <c r="D88" t="s">
        <v>31</v>
      </c>
      <c r="E88">
        <v>38</v>
      </c>
      <c r="F88">
        <v>19</v>
      </c>
    </row>
    <row r="89" spans="1:6" x14ac:dyDescent="0.2">
      <c r="A89" s="2">
        <v>42898.01935185185</v>
      </c>
      <c r="B89" t="s">
        <v>11</v>
      </c>
      <c r="C89" t="s">
        <v>22</v>
      </c>
      <c r="D89" t="s">
        <v>30</v>
      </c>
      <c r="E89">
        <v>45</v>
      </c>
      <c r="F89">
        <v>97</v>
      </c>
    </row>
    <row r="90" spans="1:6" x14ac:dyDescent="0.2">
      <c r="A90" s="2">
        <v>42898.01935185185</v>
      </c>
      <c r="B90" t="s">
        <v>12</v>
      </c>
      <c r="C90" t="s">
        <v>26</v>
      </c>
      <c r="D90" t="s">
        <v>30</v>
      </c>
      <c r="E90">
        <v>50</v>
      </c>
      <c r="F90">
        <v>11</v>
      </c>
    </row>
    <row r="91" spans="1:6" x14ac:dyDescent="0.2">
      <c r="A91" s="2">
        <v>42898.01935185185</v>
      </c>
      <c r="B91" t="s">
        <v>13</v>
      </c>
      <c r="C91" t="s">
        <v>24</v>
      </c>
      <c r="D91" t="s">
        <v>32</v>
      </c>
      <c r="E91">
        <v>71</v>
      </c>
      <c r="F91">
        <v>95</v>
      </c>
    </row>
    <row r="92" spans="1:6" x14ac:dyDescent="0.2">
      <c r="A92" s="2">
        <v>42898.01935185185</v>
      </c>
      <c r="B92" t="s">
        <v>14</v>
      </c>
      <c r="C92" t="s">
        <v>36</v>
      </c>
      <c r="D92" t="s">
        <v>39</v>
      </c>
      <c r="E92">
        <v>87</v>
      </c>
      <c r="F92">
        <v>12</v>
      </c>
    </row>
    <row r="93" spans="1:6" x14ac:dyDescent="0.2">
      <c r="A93" s="2">
        <v>42898.01935185185</v>
      </c>
      <c r="B93" t="s">
        <v>15</v>
      </c>
      <c r="C93" t="s">
        <v>23</v>
      </c>
      <c r="D93" t="s">
        <v>31</v>
      </c>
      <c r="E93">
        <v>77</v>
      </c>
      <c r="F93">
        <v>99</v>
      </c>
    </row>
    <row r="94" spans="1:6" x14ac:dyDescent="0.2">
      <c r="A94" s="2">
        <v>42898.01935185185</v>
      </c>
      <c r="B94" t="s">
        <v>16</v>
      </c>
      <c r="C94" t="s">
        <v>38</v>
      </c>
      <c r="D94" t="s">
        <v>47</v>
      </c>
      <c r="E94">
        <v>77</v>
      </c>
      <c r="F94">
        <v>28</v>
      </c>
    </row>
    <row r="95" spans="1:6" x14ac:dyDescent="0.2">
      <c r="A95" s="2">
        <v>42898.01935185185</v>
      </c>
      <c r="B95" t="s">
        <v>17</v>
      </c>
      <c r="C95" t="s">
        <v>25</v>
      </c>
      <c r="D95" t="s">
        <v>32</v>
      </c>
      <c r="E95">
        <v>76</v>
      </c>
      <c r="F95">
        <v>32</v>
      </c>
    </row>
    <row r="96" spans="1:6" x14ac:dyDescent="0.2">
      <c r="A96" s="2">
        <v>42898.01935185185</v>
      </c>
      <c r="B96" t="s">
        <v>18</v>
      </c>
      <c r="C96" t="s">
        <v>43</v>
      </c>
      <c r="D96" t="s">
        <v>46</v>
      </c>
      <c r="E96">
        <v>43</v>
      </c>
      <c r="F96">
        <v>6</v>
      </c>
    </row>
    <row r="97" spans="1:6" x14ac:dyDescent="0.2">
      <c r="A97" s="2">
        <v>42898.01935185185</v>
      </c>
      <c r="B97" t="s">
        <v>34</v>
      </c>
      <c r="C97" t="s">
        <v>45</v>
      </c>
      <c r="D97" t="s">
        <v>45</v>
      </c>
      <c r="E97">
        <v>23</v>
      </c>
      <c r="F97">
        <v>95</v>
      </c>
    </row>
  </sheetData>
  <sortState ref="A2:F97">
    <sortCondition ref="A1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4"/>
  <sheetViews>
    <sheetView zoomScale="145" zoomScaleNormal="145" workbookViewId="0">
      <selection activeCell="C1" sqref="C1"/>
    </sheetView>
  </sheetViews>
  <sheetFormatPr defaultRowHeight="14.25" x14ac:dyDescent="0.2"/>
  <cols>
    <col min="1" max="1" width="7.5" bestFit="1" customWidth="1"/>
    <col min="2" max="2" width="19.75" bestFit="1" customWidth="1"/>
  </cols>
  <sheetData>
    <row r="1" spans="1:2" x14ac:dyDescent="0.2">
      <c r="A1" s="6" t="s">
        <v>0</v>
      </c>
      <c r="B1" s="6" t="s">
        <v>28</v>
      </c>
    </row>
    <row r="2" spans="1:2" x14ac:dyDescent="0.2">
      <c r="A2" t="s">
        <v>4</v>
      </c>
      <c r="B2" t="s">
        <v>20</v>
      </c>
    </row>
    <row r="3" spans="1:2" x14ac:dyDescent="0.2">
      <c r="A3" t="s">
        <v>6</v>
      </c>
      <c r="B3" t="s">
        <v>21</v>
      </c>
    </row>
    <row r="4" spans="1:2" x14ac:dyDescent="0.2">
      <c r="A4" t="s">
        <v>7</v>
      </c>
      <c r="B4" t="s">
        <v>22</v>
      </c>
    </row>
    <row r="5" spans="1:2" x14ac:dyDescent="0.2">
      <c r="A5" t="s">
        <v>8</v>
      </c>
      <c r="B5" t="s">
        <v>23</v>
      </c>
    </row>
    <row r="6" spans="1:2" x14ac:dyDescent="0.2">
      <c r="A6" t="s">
        <v>10</v>
      </c>
      <c r="B6" t="s">
        <v>21</v>
      </c>
    </row>
    <row r="7" spans="1:2" x14ac:dyDescent="0.2">
      <c r="A7" t="s">
        <v>11</v>
      </c>
      <c r="B7" t="s">
        <v>22</v>
      </c>
    </row>
    <row r="8" spans="1:2" x14ac:dyDescent="0.2">
      <c r="A8" t="s">
        <v>12</v>
      </c>
      <c r="B8" t="s">
        <v>40</v>
      </c>
    </row>
    <row r="9" spans="1:2" x14ac:dyDescent="0.2">
      <c r="A9" t="s">
        <v>13</v>
      </c>
      <c r="B9" t="s">
        <v>24</v>
      </c>
    </row>
    <row r="10" spans="1:2" x14ac:dyDescent="0.2">
      <c r="A10" t="s">
        <v>14</v>
      </c>
      <c r="B10" t="s">
        <v>37</v>
      </c>
    </row>
    <row r="11" spans="1:2" x14ac:dyDescent="0.2">
      <c r="A11" t="s">
        <v>15</v>
      </c>
      <c r="B11" t="s">
        <v>41</v>
      </c>
    </row>
    <row r="12" spans="1:2" x14ac:dyDescent="0.2">
      <c r="A12" t="s">
        <v>16</v>
      </c>
      <c r="B12" t="s">
        <v>42</v>
      </c>
    </row>
    <row r="13" spans="1:2" x14ac:dyDescent="0.2">
      <c r="A13" t="s">
        <v>17</v>
      </c>
      <c r="B13" t="s">
        <v>25</v>
      </c>
    </row>
    <row r="14" spans="1:2" x14ac:dyDescent="0.2">
      <c r="A14" t="s">
        <v>18</v>
      </c>
      <c r="B14" t="s">
        <v>44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8"/>
  <sheetViews>
    <sheetView zoomScale="145" zoomScaleNormal="145" workbookViewId="0">
      <selection activeCell="C1" sqref="C1"/>
    </sheetView>
  </sheetViews>
  <sheetFormatPr defaultRowHeight="14.25" x14ac:dyDescent="0.2"/>
  <cols>
    <col min="1" max="1" width="9.75" bestFit="1" customWidth="1"/>
    <col min="2" max="2" width="17.625" bestFit="1" customWidth="1"/>
  </cols>
  <sheetData>
    <row r="1" spans="1:2" x14ac:dyDescent="0.2">
      <c r="A1" s="6" t="s">
        <v>27</v>
      </c>
      <c r="B1" s="6" t="s">
        <v>29</v>
      </c>
    </row>
    <row r="2" spans="1:2" x14ac:dyDescent="0.2">
      <c r="A2" t="s">
        <v>19</v>
      </c>
      <c r="B2" t="s">
        <v>30</v>
      </c>
    </row>
    <row r="3" spans="1:2" x14ac:dyDescent="0.2">
      <c r="A3" t="s">
        <v>21</v>
      </c>
      <c r="B3" t="s">
        <v>31</v>
      </c>
    </row>
    <row r="4" spans="1:2" x14ac:dyDescent="0.2">
      <c r="A4" t="s">
        <v>22</v>
      </c>
      <c r="B4" t="s">
        <v>30</v>
      </c>
    </row>
    <row r="5" spans="1:2" x14ac:dyDescent="0.2">
      <c r="A5" t="s">
        <v>23</v>
      </c>
      <c r="B5" t="s">
        <v>31</v>
      </c>
    </row>
    <row r="6" spans="1:2" x14ac:dyDescent="0.2">
      <c r="A6" t="s">
        <v>24</v>
      </c>
      <c r="B6" t="s">
        <v>32</v>
      </c>
    </row>
    <row r="7" spans="1:2" x14ac:dyDescent="0.2">
      <c r="A7" t="s">
        <v>25</v>
      </c>
      <c r="B7" t="s">
        <v>32</v>
      </c>
    </row>
    <row r="8" spans="1:2" x14ac:dyDescent="0.2">
      <c r="A8" t="s">
        <v>26</v>
      </c>
      <c r="B8" t="s">
        <v>30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7"/>
  <sheetViews>
    <sheetView zoomScale="115" zoomScaleNormal="115" workbookViewId="0">
      <selection activeCell="E10" sqref="E10"/>
    </sheetView>
  </sheetViews>
  <sheetFormatPr defaultRowHeight="14.25" x14ac:dyDescent="0.2"/>
  <cols>
    <col min="1" max="1" width="8.875" bestFit="1" customWidth="1"/>
    <col min="2" max="2" width="19.125" bestFit="1" customWidth="1"/>
    <col min="3" max="3" width="5" bestFit="1" customWidth="1"/>
  </cols>
  <sheetData>
    <row r="1" spans="1:3" x14ac:dyDescent="0.2">
      <c r="A1" t="s">
        <v>71</v>
      </c>
      <c r="B1" s="2">
        <v>42898.019347800924</v>
      </c>
    </row>
    <row r="2" spans="1:3" x14ac:dyDescent="0.2">
      <c r="A2" t="s">
        <v>51</v>
      </c>
      <c r="B2" t="s">
        <v>49</v>
      </c>
      <c r="C2" t="s">
        <v>50</v>
      </c>
    </row>
    <row r="3" spans="1:3" x14ac:dyDescent="0.2">
      <c r="A3" t="s">
        <v>3</v>
      </c>
      <c r="B3">
        <v>42</v>
      </c>
      <c r="C3">
        <v>76</v>
      </c>
    </row>
    <row r="4" spans="1:3" x14ac:dyDescent="0.2">
      <c r="A4" t="s">
        <v>5</v>
      </c>
      <c r="B4">
        <v>28</v>
      </c>
      <c r="C4">
        <v>89</v>
      </c>
    </row>
    <row r="5" spans="1:3" x14ac:dyDescent="0.2">
      <c r="A5" t="s">
        <v>7</v>
      </c>
      <c r="B5">
        <v>23</v>
      </c>
      <c r="C5">
        <v>54</v>
      </c>
    </row>
    <row r="6" spans="1:3" x14ac:dyDescent="0.2">
      <c r="A6" t="s">
        <v>8</v>
      </c>
      <c r="B6">
        <v>27</v>
      </c>
      <c r="C6">
        <v>40</v>
      </c>
    </row>
    <row r="7" spans="1:3" x14ac:dyDescent="0.2">
      <c r="A7" t="s">
        <v>9</v>
      </c>
      <c r="B7">
        <v>67</v>
      </c>
      <c r="C7">
        <v>82</v>
      </c>
    </row>
    <row r="8" spans="1:3" x14ac:dyDescent="0.2">
      <c r="A8" t="s">
        <v>10</v>
      </c>
      <c r="B8">
        <v>38</v>
      </c>
      <c r="C8">
        <v>19</v>
      </c>
    </row>
    <row r="9" spans="1:3" x14ac:dyDescent="0.2">
      <c r="A9" t="s">
        <v>11</v>
      </c>
      <c r="B9">
        <v>45</v>
      </c>
      <c r="C9">
        <v>97</v>
      </c>
    </row>
    <row r="10" spans="1:3" x14ac:dyDescent="0.2">
      <c r="A10" t="s">
        <v>12</v>
      </c>
      <c r="B10">
        <v>50</v>
      </c>
      <c r="C10">
        <v>11</v>
      </c>
    </row>
    <row r="11" spans="1:3" x14ac:dyDescent="0.2">
      <c r="A11" t="s">
        <v>13</v>
      </c>
      <c r="B11">
        <v>71</v>
      </c>
      <c r="C11">
        <v>95</v>
      </c>
    </row>
    <row r="12" spans="1:3" x14ac:dyDescent="0.2">
      <c r="A12" t="s">
        <v>14</v>
      </c>
      <c r="B12">
        <v>87</v>
      </c>
      <c r="C12">
        <v>12</v>
      </c>
    </row>
    <row r="13" spans="1:3" x14ac:dyDescent="0.2">
      <c r="A13" t="s">
        <v>15</v>
      </c>
      <c r="B13">
        <v>77</v>
      </c>
      <c r="C13">
        <v>99</v>
      </c>
    </row>
    <row r="14" spans="1:3" x14ac:dyDescent="0.2">
      <c r="A14" t="s">
        <v>16</v>
      </c>
      <c r="B14">
        <v>77</v>
      </c>
      <c r="C14">
        <v>28</v>
      </c>
    </row>
    <row r="15" spans="1:3" x14ac:dyDescent="0.2">
      <c r="A15" t="s">
        <v>17</v>
      </c>
      <c r="B15">
        <v>76</v>
      </c>
      <c r="C15">
        <v>32</v>
      </c>
    </row>
    <row r="16" spans="1:3" x14ac:dyDescent="0.2">
      <c r="A16" t="s">
        <v>18</v>
      </c>
      <c r="B16">
        <v>43</v>
      </c>
      <c r="C16">
        <v>6</v>
      </c>
    </row>
    <row r="17" spans="1:3" x14ac:dyDescent="0.2">
      <c r="A17" t="s">
        <v>34</v>
      </c>
      <c r="B17">
        <v>23</v>
      </c>
      <c r="C17">
        <v>95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7"/>
  <sheetViews>
    <sheetView zoomScaleNormal="100" workbookViewId="0">
      <selection activeCell="D24" sqref="D24"/>
    </sheetView>
  </sheetViews>
  <sheetFormatPr defaultRowHeight="14.25" x14ac:dyDescent="0.2"/>
  <cols>
    <col min="1" max="1" width="8.875" bestFit="1" customWidth="1"/>
    <col min="2" max="2" width="19.125" bestFit="1" customWidth="1"/>
    <col min="3" max="3" width="5" bestFit="1" customWidth="1"/>
  </cols>
  <sheetData>
    <row r="1" spans="1:3" x14ac:dyDescent="0.2">
      <c r="A1" t="s">
        <v>33</v>
      </c>
      <c r="B1" s="2">
        <f ca="1">NOW()</f>
        <v>42899.047749421297</v>
      </c>
    </row>
    <row r="2" spans="1:3" x14ac:dyDescent="0.2">
      <c r="A2" t="s">
        <v>0</v>
      </c>
      <c r="B2" t="s">
        <v>1</v>
      </c>
      <c r="C2" t="s">
        <v>2</v>
      </c>
    </row>
    <row r="3" spans="1:3" x14ac:dyDescent="0.2">
      <c r="A3" t="s">
        <v>4</v>
      </c>
      <c r="B3">
        <f ca="1">ROUNDDOWN(RAND()*100,0)</f>
        <v>68</v>
      </c>
      <c r="C3">
        <f ca="1">ROUNDDOWN(RAND()*100,0)</f>
        <v>15</v>
      </c>
    </row>
    <row r="4" spans="1:3" x14ac:dyDescent="0.2">
      <c r="A4" t="s">
        <v>6</v>
      </c>
      <c r="B4">
        <f t="shared" ref="B4:C17" ca="1" si="0">ROUNDDOWN(RAND()*100,0)</f>
        <v>33</v>
      </c>
      <c r="C4">
        <f t="shared" ca="1" si="0"/>
        <v>18</v>
      </c>
    </row>
    <row r="5" spans="1:3" x14ac:dyDescent="0.2">
      <c r="A5" t="s">
        <v>7</v>
      </c>
      <c r="B5">
        <f t="shared" ca="1" si="0"/>
        <v>78</v>
      </c>
      <c r="C5">
        <f t="shared" ca="1" si="0"/>
        <v>12</v>
      </c>
    </row>
    <row r="6" spans="1:3" x14ac:dyDescent="0.2">
      <c r="A6" t="s">
        <v>8</v>
      </c>
      <c r="B6">
        <f t="shared" ca="1" si="0"/>
        <v>43</v>
      </c>
      <c r="C6">
        <f t="shared" ca="1" si="0"/>
        <v>11</v>
      </c>
    </row>
    <row r="7" spans="1:3" x14ac:dyDescent="0.2">
      <c r="A7" t="s">
        <v>9</v>
      </c>
      <c r="B7">
        <f t="shared" ca="1" si="0"/>
        <v>17</v>
      </c>
      <c r="C7">
        <f t="shared" ca="1" si="0"/>
        <v>76</v>
      </c>
    </row>
    <row r="8" spans="1:3" x14ac:dyDescent="0.2">
      <c r="A8" t="s">
        <v>10</v>
      </c>
      <c r="B8">
        <f t="shared" ca="1" si="0"/>
        <v>24</v>
      </c>
      <c r="C8">
        <f t="shared" ca="1" si="0"/>
        <v>84</v>
      </c>
    </row>
    <row r="9" spans="1:3" x14ac:dyDescent="0.2">
      <c r="A9" t="s">
        <v>11</v>
      </c>
      <c r="B9">
        <f t="shared" ca="1" si="0"/>
        <v>42</v>
      </c>
      <c r="C9">
        <f t="shared" ca="1" si="0"/>
        <v>51</v>
      </c>
    </row>
    <row r="10" spans="1:3" x14ac:dyDescent="0.2">
      <c r="A10" t="s">
        <v>12</v>
      </c>
      <c r="B10">
        <f t="shared" ca="1" si="0"/>
        <v>42</v>
      </c>
      <c r="C10">
        <f t="shared" ca="1" si="0"/>
        <v>85</v>
      </c>
    </row>
    <row r="11" spans="1:3" x14ac:dyDescent="0.2">
      <c r="A11" t="s">
        <v>13</v>
      </c>
      <c r="B11">
        <f t="shared" ca="1" si="0"/>
        <v>74</v>
      </c>
      <c r="C11">
        <f t="shared" ca="1" si="0"/>
        <v>66</v>
      </c>
    </row>
    <row r="12" spans="1:3" x14ac:dyDescent="0.2">
      <c r="A12" t="s">
        <v>14</v>
      </c>
      <c r="B12">
        <f t="shared" ca="1" si="0"/>
        <v>67</v>
      </c>
      <c r="C12">
        <f t="shared" ca="1" si="0"/>
        <v>96</v>
      </c>
    </row>
    <row r="13" spans="1:3" x14ac:dyDescent="0.2">
      <c r="A13" t="s">
        <v>15</v>
      </c>
      <c r="B13">
        <f t="shared" ca="1" si="0"/>
        <v>75</v>
      </c>
      <c r="C13">
        <f t="shared" ca="1" si="0"/>
        <v>42</v>
      </c>
    </row>
    <row r="14" spans="1:3" x14ac:dyDescent="0.2">
      <c r="A14" t="s">
        <v>16</v>
      </c>
      <c r="B14">
        <f t="shared" ca="1" si="0"/>
        <v>69</v>
      </c>
      <c r="C14">
        <f t="shared" ca="1" si="0"/>
        <v>79</v>
      </c>
    </row>
    <row r="15" spans="1:3" x14ac:dyDescent="0.2">
      <c r="A15" t="s">
        <v>17</v>
      </c>
      <c r="B15">
        <f t="shared" ca="1" si="0"/>
        <v>26</v>
      </c>
      <c r="C15">
        <f t="shared" ca="1" si="0"/>
        <v>77</v>
      </c>
    </row>
    <row r="16" spans="1:3" x14ac:dyDescent="0.2">
      <c r="A16" t="s">
        <v>18</v>
      </c>
      <c r="B16">
        <f t="shared" ca="1" si="0"/>
        <v>81</v>
      </c>
      <c r="C16">
        <f t="shared" ca="1" si="0"/>
        <v>65</v>
      </c>
    </row>
    <row r="17" spans="1:3" x14ac:dyDescent="0.2">
      <c r="A17" t="s">
        <v>35</v>
      </c>
      <c r="B17">
        <f t="shared" ca="1" si="0"/>
        <v>94</v>
      </c>
      <c r="C17">
        <f t="shared" ca="1" si="0"/>
        <v>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7"/>
  <sheetViews>
    <sheetView workbookViewId="0">
      <selection activeCell="B19" sqref="B19"/>
    </sheetView>
  </sheetViews>
  <sheetFormatPr defaultRowHeight="14.25" x14ac:dyDescent="0.2"/>
  <cols>
    <col min="1" max="1" width="19.125" style="2" bestFit="1" customWidth="1"/>
    <col min="2" max="2" width="19.125" bestFit="1" customWidth="1"/>
  </cols>
  <sheetData>
    <row r="1" spans="1:1" x14ac:dyDescent="0.2">
      <c r="A1" s="2" t="s">
        <v>72</v>
      </c>
    </row>
    <row r="2" spans="1:1" x14ac:dyDescent="0.2">
      <c r="A2" s="2">
        <v>42895.852662037039</v>
      </c>
    </row>
    <row r="3" spans="1:1" x14ac:dyDescent="0.2">
      <c r="A3" s="2">
        <v>42895.889236111114</v>
      </c>
    </row>
    <row r="4" spans="1:1" x14ac:dyDescent="0.2">
      <c r="A4" s="2">
        <v>42895.930902777778</v>
      </c>
    </row>
    <row r="5" spans="1:1" x14ac:dyDescent="0.2">
      <c r="A5" s="2">
        <v>42898.01761574074</v>
      </c>
    </row>
    <row r="6" spans="1:1" x14ac:dyDescent="0.2">
      <c r="A6" s="2">
        <v>42898.019305555557</v>
      </c>
    </row>
    <row r="7" spans="1:1" x14ac:dyDescent="0.2">
      <c r="A7" s="2">
        <v>42898.01935185185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2"/>
  <sheetViews>
    <sheetView tabSelected="1" workbookViewId="0">
      <selection activeCell="A2" sqref="A2"/>
    </sheetView>
  </sheetViews>
  <sheetFormatPr defaultRowHeight="14.25" x14ac:dyDescent="0.2"/>
  <cols>
    <col min="1" max="1" width="21.25" bestFit="1" customWidth="1"/>
  </cols>
  <sheetData>
    <row r="1" spans="1:1" x14ac:dyDescent="0.2">
      <c r="A1" t="s">
        <v>112</v>
      </c>
    </row>
    <row r="2" spans="1:1" x14ac:dyDescent="0.2">
      <c r="A2">
        <v>3</v>
      </c>
    </row>
  </sheetData>
  <sortState ref="A1:A2">
    <sortCondition ref="A1"/>
  </sortState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statistic</vt:lpstr>
      <vt:lpstr>report</vt:lpstr>
      <vt:lpstr>his-data</vt:lpstr>
      <vt:lpstr>p-s-index</vt:lpstr>
      <vt:lpstr>s-r-index</vt:lpstr>
      <vt:lpstr>data-new</vt:lpstr>
      <vt:lpstr>data-src</vt:lpstr>
      <vt:lpstr>conf</vt:lpstr>
      <vt:lpstr>tmp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LZ Zeng</dc:creator>
  <cp:lastModifiedBy>LZ Zeng</cp:lastModifiedBy>
  <dcterms:created xsi:type="dcterms:W3CDTF">2017-06-07T12:45:20Z</dcterms:created>
  <dcterms:modified xsi:type="dcterms:W3CDTF">2017-06-12T17:08:59Z</dcterms:modified>
</cp:coreProperties>
</file>